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anessa\Desktop\"/>
    </mc:Choice>
  </mc:AlternateContent>
  <bookViews>
    <workbookView xWindow="0" yWindow="0" windowWidth="20490" windowHeight="7755"/>
  </bookViews>
  <sheets>
    <sheet name="CIFCAL" sheetId="1" r:id="rId1"/>
    <sheet name="CANDCALI" sheetId="2" r:id="rId2"/>
    <sheet name="DISTANCIA AL UMBRAL" sheetId="3" state="hidden" r:id="rId3"/>
    <sheet name="VOTOS PARTIDOS" sheetId="4" state="hidden" r:id="rId4"/>
    <sheet name="CURULES OBTENIDAS" sheetId="5" state="hidden" r:id="rId5"/>
  </sheets>
  <definedNames>
    <definedName name="_xlnm._FilterDatabase" localSheetId="1" hidden="1">CANDCALI!$C$7:$K$245</definedName>
    <definedName name="CANDIDATOS">CANDCALI!$E$8:$E$245</definedName>
    <definedName name="CIFRA_REPARTIDORA">CIFCAL!$D$18</definedName>
    <definedName name="_xlnm.Criteria" localSheetId="1">CANDCALI!$C$1:$I$2</definedName>
    <definedName name="CURULES_A_PROVEER">CIFCAL!$D$16</definedName>
    <definedName name="GÉNERO">CANDCALI!$Q$2:$Q$2</definedName>
    <definedName name="MOVIMIENTO_ALTERNATIVO_INDIGENA_Y_SOCIAL_MAIS">CIFCAL!$D$13</definedName>
    <definedName name="MOVIMIENTO_MIRA">CIFCAL!$D$4</definedName>
    <definedName name="PARTIDO_ALIANZA_SOCIAL_INDEPENDIENTE_ASI">CIFCAL!$D$9</definedName>
    <definedName name="PARTIDO_ALIANZA_VERDE">CIFCAL!$D$10</definedName>
    <definedName name="PARTIDO_CAMBIO_RADICAL">CIFCAL!$D$7</definedName>
    <definedName name="PARTIDO_CENTRO_DEMOCRATICO">CIFCAL!$D$8</definedName>
    <definedName name="PARTIDO_CONSERVADOR_COLOMBIANO">CIFCAL!$D$2</definedName>
    <definedName name="PARTIDO_LIBERAL_COLOMBIANO">CIFCAL!$D$5</definedName>
    <definedName name="PARTIDO_OPCION_CIUDADANA">CIFCAL!$D$12</definedName>
    <definedName name="PARTIDO_POLO_DEMOCRATICO_ALTERNATIVO">CIFCAL!$D$11</definedName>
    <definedName name="PARTIDO_SOCIAL_DE_UNIDAD_NACIONAL__PARTIDO_DE_LA_U">CIFCAL!$D$3</definedName>
    <definedName name="PARTIDO_UNION_PATRIOTICA_UP">CIFCAL!$D$6</definedName>
    <definedName name="TABLACANDIDATOS">CANDCALI!$C$7:$K$245</definedName>
    <definedName name="TOTAL_VOTOS_VÁLIDOS">CIFCAL!$D$15</definedName>
    <definedName name="UMBRAL" localSheetId="0">CIFCAL!$D$17</definedName>
    <definedName name="UMBRALCALI">CIFCAL!$D$20</definedName>
    <definedName name="VOTOS_EN_BLANCO">CIFCAL!$D$14</definedName>
  </definedNames>
  <calcPr calcId="152511"/>
</workbook>
</file>

<file path=xl/calcChain.xml><?xml version="1.0" encoding="utf-8"?>
<calcChain xmlns="http://schemas.openxmlformats.org/spreadsheetml/2006/main">
  <c r="G126" i="2" l="1"/>
  <c r="G225" i="2"/>
  <c r="G203" i="2"/>
  <c r="G186" i="2"/>
  <c r="G164" i="2"/>
  <c r="G142" i="2"/>
  <c r="G104" i="2"/>
  <c r="G96" i="2"/>
  <c r="G74" i="2"/>
  <c r="G52" i="2"/>
  <c r="G30" i="2"/>
  <c r="G8" i="2"/>
  <c r="H246" i="2" l="1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A9" i="2" l="1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8" i="2"/>
  <c r="D15" i="1" l="1"/>
  <c r="D17" i="1" l="1"/>
  <c r="F5" i="1" s="1"/>
  <c r="AF14" i="1"/>
  <c r="AF12" i="1"/>
  <c r="AF10" i="1"/>
  <c r="AF8" i="1"/>
  <c r="AF6" i="1"/>
  <c r="AF4" i="1"/>
  <c r="AF2" i="1"/>
  <c r="AF13" i="1"/>
  <c r="AF11" i="1"/>
  <c r="AF9" i="1"/>
  <c r="AF7" i="1"/>
  <c r="AF5" i="1"/>
  <c r="AF3" i="1"/>
  <c r="G5" i="1" l="1"/>
  <c r="X5" i="1" s="1"/>
  <c r="F2" i="1"/>
  <c r="G10" i="1"/>
  <c r="L10" i="1" s="1"/>
  <c r="F4" i="1"/>
  <c r="F11" i="1"/>
  <c r="F12" i="1"/>
  <c r="G11" i="1"/>
  <c r="M11" i="1" s="1"/>
  <c r="F6" i="1"/>
  <c r="G6" i="1"/>
  <c r="P6" i="1" s="1"/>
  <c r="G13" i="1"/>
  <c r="T13" i="1" s="1"/>
  <c r="F10" i="1"/>
  <c r="G7" i="1"/>
  <c r="K7" i="1" s="1"/>
  <c r="F7" i="1"/>
  <c r="G2" i="1"/>
  <c r="J2" i="1" s="1"/>
  <c r="G3" i="1"/>
  <c r="Y3" i="1" s="1"/>
  <c r="F3" i="1"/>
  <c r="F8" i="1"/>
  <c r="F13" i="1"/>
  <c r="G8" i="1"/>
  <c r="H8" i="1" s="1"/>
  <c r="G12" i="1"/>
  <c r="H12" i="1" s="1"/>
  <c r="G4" i="1"/>
  <c r="Z4" i="1" s="1"/>
  <c r="AF15" i="1"/>
  <c r="G9" i="1"/>
  <c r="AE11" i="1"/>
  <c r="AE9" i="1"/>
  <c r="AE7" i="1"/>
  <c r="AE5" i="1"/>
  <c r="AE13" i="1"/>
  <c r="AE2" i="1"/>
  <c r="AE10" i="1"/>
  <c r="AE6" i="1"/>
  <c r="AE4" i="1"/>
  <c r="AE12" i="1"/>
  <c r="AE8" i="1"/>
  <c r="AE3" i="1"/>
  <c r="L5" i="1" l="1"/>
  <c r="O5" i="1"/>
  <c r="AB5" i="1"/>
  <c r="S5" i="1"/>
  <c r="AA5" i="1"/>
  <c r="V5" i="1"/>
  <c r="I5" i="1"/>
  <c r="R5" i="1"/>
  <c r="P5" i="1"/>
  <c r="N5" i="1"/>
  <c r="U5" i="1"/>
  <c r="H5" i="1"/>
  <c r="K5" i="1"/>
  <c r="Y5" i="1"/>
  <c r="W5" i="1"/>
  <c r="X10" i="1"/>
  <c r="M6" i="1"/>
  <c r="Z5" i="1"/>
  <c r="J5" i="1"/>
  <c r="M5" i="1"/>
  <c r="Q5" i="1"/>
  <c r="T5" i="1"/>
  <c r="M10" i="1"/>
  <c r="H11" i="1"/>
  <c r="J4" i="1"/>
  <c r="V10" i="1"/>
  <c r="S10" i="1"/>
  <c r="S6" i="1"/>
  <c r="M8" i="1"/>
  <c r="J8" i="1"/>
  <c r="V8" i="1"/>
  <c r="X11" i="1"/>
  <c r="Q10" i="1"/>
  <c r="K10" i="1"/>
  <c r="AA10" i="1"/>
  <c r="Q6" i="1"/>
  <c r="R11" i="1"/>
  <c r="AA11" i="1"/>
  <c r="N10" i="1"/>
  <c r="N6" i="1"/>
  <c r="V3" i="1"/>
  <c r="AB3" i="1"/>
  <c r="V13" i="1"/>
  <c r="Y11" i="1"/>
  <c r="O13" i="1"/>
  <c r="W7" i="1"/>
  <c r="I12" i="1"/>
  <c r="S2" i="1"/>
  <c r="T2" i="1"/>
  <c r="U13" i="1"/>
  <c r="V7" i="1"/>
  <c r="Z7" i="1"/>
  <c r="V2" i="1"/>
  <c r="M2" i="1"/>
  <c r="S13" i="1"/>
  <c r="M13" i="1"/>
  <c r="Z13" i="1"/>
  <c r="R12" i="1"/>
  <c r="H7" i="1"/>
  <c r="Y12" i="1"/>
  <c r="X2" i="1"/>
  <c r="W12" i="1"/>
  <c r="X7" i="1"/>
  <c r="S12" i="1"/>
  <c r="N13" i="1"/>
  <c r="J10" i="1"/>
  <c r="H10" i="1"/>
  <c r="I10" i="1"/>
  <c r="Y10" i="1"/>
  <c r="U10" i="1"/>
  <c r="O10" i="1"/>
  <c r="W10" i="1"/>
  <c r="AB10" i="1"/>
  <c r="X6" i="1"/>
  <c r="K6" i="1"/>
  <c r="AA6" i="1"/>
  <c r="V11" i="1"/>
  <c r="P11" i="1"/>
  <c r="V12" i="1"/>
  <c r="AA12" i="1"/>
  <c r="R7" i="1"/>
  <c r="P7" i="1"/>
  <c r="AB7" i="1"/>
  <c r="P12" i="1"/>
  <c r="Q12" i="1"/>
  <c r="Q7" i="1"/>
  <c r="H2" i="1"/>
  <c r="K2" i="1"/>
  <c r="AB12" i="1"/>
  <c r="R2" i="1"/>
  <c r="Q2" i="1"/>
  <c r="W2" i="1"/>
  <c r="S11" i="1"/>
  <c r="R10" i="1"/>
  <c r="Z10" i="1"/>
  <c r="V6" i="1"/>
  <c r="T10" i="1"/>
  <c r="P10" i="1"/>
  <c r="L13" i="1"/>
  <c r="K13" i="1"/>
  <c r="X13" i="1"/>
  <c r="I13" i="1"/>
  <c r="Q13" i="1"/>
  <c r="AA13" i="1"/>
  <c r="AB13" i="1"/>
  <c r="S8" i="1"/>
  <c r="AB8" i="1"/>
  <c r="K3" i="1"/>
  <c r="W8" i="1"/>
  <c r="R13" i="1"/>
  <c r="W13" i="1"/>
  <c r="H6" i="1"/>
  <c r="W6" i="1"/>
  <c r="K11" i="1"/>
  <c r="Q11" i="1"/>
  <c r="I11" i="1"/>
  <c r="U6" i="1"/>
  <c r="I6" i="1"/>
  <c r="AB6" i="1"/>
  <c r="O6" i="1"/>
  <c r="Z6" i="1"/>
  <c r="J11" i="1"/>
  <c r="N11" i="1"/>
  <c r="Z11" i="1"/>
  <c r="L11" i="1"/>
  <c r="T11" i="1"/>
  <c r="O8" i="1"/>
  <c r="U8" i="1"/>
  <c r="I3" i="1"/>
  <c r="Q3" i="1"/>
  <c r="S3" i="1"/>
  <c r="P8" i="1"/>
  <c r="P3" i="1"/>
  <c r="Y8" i="1"/>
  <c r="R3" i="1"/>
  <c r="O11" i="1"/>
  <c r="W11" i="1"/>
  <c r="R6" i="1"/>
  <c r="Y6" i="1"/>
  <c r="U11" i="1"/>
  <c r="AB11" i="1"/>
  <c r="J13" i="1"/>
  <c r="P13" i="1"/>
  <c r="H13" i="1"/>
  <c r="Y13" i="1"/>
  <c r="J6" i="1"/>
  <c r="T6" i="1"/>
  <c r="L6" i="1"/>
  <c r="N12" i="1"/>
  <c r="J12" i="1"/>
  <c r="Z12" i="1"/>
  <c r="N7" i="1"/>
  <c r="J7" i="1"/>
  <c r="Y7" i="1"/>
  <c r="L7" i="1"/>
  <c r="T7" i="1"/>
  <c r="AA7" i="1"/>
  <c r="X12" i="1"/>
  <c r="M12" i="1"/>
  <c r="U12" i="1"/>
  <c r="M7" i="1"/>
  <c r="U7" i="1"/>
  <c r="N2" i="1"/>
  <c r="Y2" i="1"/>
  <c r="P2" i="1"/>
  <c r="AB2" i="1"/>
  <c r="O2" i="1"/>
  <c r="L12" i="1"/>
  <c r="O12" i="1"/>
  <c r="O7" i="1"/>
  <c r="AA2" i="1"/>
  <c r="I2" i="1"/>
  <c r="T12" i="1"/>
  <c r="Z2" i="1"/>
  <c r="K12" i="1"/>
  <c r="K8" i="1"/>
  <c r="X8" i="1"/>
  <c r="I8" i="1"/>
  <c r="Q8" i="1"/>
  <c r="Z8" i="1"/>
  <c r="AA8" i="1"/>
  <c r="M3" i="1"/>
  <c r="Z3" i="1"/>
  <c r="AA3" i="1"/>
  <c r="O3" i="1"/>
  <c r="R4" i="1"/>
  <c r="L8" i="1"/>
  <c r="T8" i="1"/>
  <c r="L3" i="1"/>
  <c r="T3" i="1"/>
  <c r="W3" i="1"/>
  <c r="R8" i="1"/>
  <c r="J3" i="1"/>
  <c r="U3" i="1"/>
  <c r="N8" i="1"/>
  <c r="X3" i="1"/>
  <c r="U2" i="1"/>
  <c r="L2" i="1"/>
  <c r="I7" i="1"/>
  <c r="S7" i="1"/>
  <c r="K9" i="1"/>
  <c r="W9" i="1"/>
  <c r="H9" i="1"/>
  <c r="AA9" i="1"/>
  <c r="V9" i="1"/>
  <c r="N9" i="1"/>
  <c r="L9" i="1"/>
  <c r="AB9" i="1"/>
  <c r="I9" i="1"/>
  <c r="M9" i="1"/>
  <c r="Q9" i="1"/>
  <c r="U9" i="1"/>
  <c r="Y9" i="1"/>
  <c r="X9" i="1"/>
  <c r="P9" i="1"/>
  <c r="Z9" i="1"/>
  <c r="R9" i="1"/>
  <c r="J9" i="1"/>
  <c r="T9" i="1"/>
  <c r="O9" i="1"/>
  <c r="S9" i="1"/>
  <c r="AB4" i="1"/>
  <c r="V4" i="1"/>
  <c r="M4" i="1"/>
  <c r="U4" i="1"/>
  <c r="AA4" i="1"/>
  <c r="X4" i="1"/>
  <c r="P4" i="1"/>
  <c r="H4" i="1"/>
  <c r="N4" i="1"/>
  <c r="K4" i="1"/>
  <c r="O4" i="1"/>
  <c r="S4" i="1"/>
  <c r="W4" i="1"/>
  <c r="T4" i="1"/>
  <c r="L4" i="1"/>
  <c r="I4" i="1"/>
  <c r="Q4" i="1"/>
  <c r="Y4" i="1"/>
  <c r="H3" i="1"/>
  <c r="N3" i="1"/>
  <c r="D18" i="1" l="1"/>
  <c r="E12" i="1" s="1"/>
  <c r="AC12" i="1" s="1"/>
  <c r="I203" i="2" s="1"/>
  <c r="J203" i="2" s="1"/>
  <c r="J204" i="2" s="1"/>
  <c r="E8" i="1" l="1"/>
  <c r="AC8" i="1" s="1"/>
  <c r="AD8" i="1" s="1"/>
  <c r="E3" i="1"/>
  <c r="AC3" i="1" s="1"/>
  <c r="AD3" i="1" s="1"/>
  <c r="E11" i="1"/>
  <c r="AC11" i="1" s="1"/>
  <c r="AD11" i="1" s="1"/>
  <c r="E2" i="1"/>
  <c r="AC2" i="1" s="1"/>
  <c r="AD2" i="1" s="1"/>
  <c r="E7" i="1"/>
  <c r="AC7" i="1" s="1"/>
  <c r="AD7" i="1" s="1"/>
  <c r="F9" i="1"/>
  <c r="E6" i="1"/>
  <c r="AC6" i="1" s="1"/>
  <c r="AD6" i="1" s="1"/>
  <c r="E9" i="1"/>
  <c r="AC9" i="1" s="1"/>
  <c r="I142" i="2" s="1"/>
  <c r="J142" i="2" s="1"/>
  <c r="J143" i="2" s="1"/>
  <c r="E4" i="1"/>
  <c r="AC4" i="1" s="1"/>
  <c r="I52" i="2" s="1"/>
  <c r="J52" i="2" s="1"/>
  <c r="J53" i="2" s="1"/>
  <c r="AD12" i="1"/>
  <c r="E10" i="1"/>
  <c r="AC10" i="1" s="1"/>
  <c r="AD10" i="1" s="1"/>
  <c r="E13" i="1"/>
  <c r="AC13" i="1" s="1"/>
  <c r="I225" i="2" s="1"/>
  <c r="J225" i="2" s="1"/>
  <c r="J226" i="2" s="1"/>
  <c r="E5" i="1"/>
  <c r="AC5" i="1" s="1"/>
  <c r="I74" i="2" s="1"/>
  <c r="J74" i="2" s="1"/>
  <c r="J75" i="2" s="1"/>
  <c r="J205" i="2"/>
  <c r="K204" i="2"/>
  <c r="AD9" i="1" l="1"/>
  <c r="AD13" i="1"/>
  <c r="AD4" i="1"/>
  <c r="I96" i="2"/>
  <c r="K103" i="2" s="1"/>
  <c r="I8" i="2"/>
  <c r="J8" i="2" s="1"/>
  <c r="J9" i="2" s="1"/>
  <c r="I30" i="2"/>
  <c r="J30" i="2" s="1"/>
  <c r="J31" i="2" s="1"/>
  <c r="AC14" i="1"/>
  <c r="I186" i="2"/>
  <c r="J186" i="2" s="1"/>
  <c r="J187" i="2" s="1"/>
  <c r="K187" i="2" s="1"/>
  <c r="I104" i="2"/>
  <c r="J104" i="2" s="1"/>
  <c r="J105" i="2" s="1"/>
  <c r="J106" i="2" s="1"/>
  <c r="AD5" i="1"/>
  <c r="I164" i="2"/>
  <c r="J164" i="2" s="1"/>
  <c r="J165" i="2" s="1"/>
  <c r="J166" i="2" s="1"/>
  <c r="I126" i="2"/>
  <c r="K137" i="2" s="1"/>
  <c r="J54" i="2"/>
  <c r="K53" i="2"/>
  <c r="J144" i="2"/>
  <c r="K143" i="2"/>
  <c r="J76" i="2"/>
  <c r="K75" i="2"/>
  <c r="J227" i="2"/>
  <c r="K226" i="2"/>
  <c r="J206" i="2"/>
  <c r="K205" i="2"/>
  <c r="K136" i="2" l="1"/>
  <c r="K100" i="2"/>
  <c r="K131" i="2"/>
  <c r="K102" i="2"/>
  <c r="K101" i="2"/>
  <c r="K138" i="2"/>
  <c r="K98" i="2"/>
  <c r="K99" i="2"/>
  <c r="K97" i="2"/>
  <c r="K132" i="2"/>
  <c r="K130" i="2"/>
  <c r="K133" i="2"/>
  <c r="K31" i="2"/>
  <c r="J32" i="2"/>
  <c r="J33" i="2" s="1"/>
  <c r="K128" i="2"/>
  <c r="K127" i="2"/>
  <c r="K135" i="2"/>
  <c r="K134" i="2"/>
  <c r="K129" i="2"/>
  <c r="K9" i="2"/>
  <c r="J10" i="2"/>
  <c r="K10" i="2" s="1"/>
  <c r="J188" i="2"/>
  <c r="J189" i="2" s="1"/>
  <c r="K165" i="2"/>
  <c r="K105" i="2"/>
  <c r="J145" i="2"/>
  <c r="K144" i="2"/>
  <c r="J55" i="2"/>
  <c r="K54" i="2"/>
  <c r="J207" i="2"/>
  <c r="K206" i="2"/>
  <c r="J167" i="2"/>
  <c r="K166" i="2"/>
  <c r="J228" i="2"/>
  <c r="K227" i="2"/>
  <c r="J77" i="2"/>
  <c r="K76" i="2"/>
  <c r="J107" i="2"/>
  <c r="K106" i="2"/>
  <c r="J11" i="2" l="1"/>
  <c r="J12" i="2" s="1"/>
  <c r="K32" i="2"/>
  <c r="K188" i="2"/>
  <c r="J108" i="2"/>
  <c r="K107" i="2"/>
  <c r="J78" i="2"/>
  <c r="K77" i="2"/>
  <c r="J229" i="2"/>
  <c r="K228" i="2"/>
  <c r="J168" i="2"/>
  <c r="K167" i="2"/>
  <c r="J34" i="2"/>
  <c r="K33" i="2"/>
  <c r="J190" i="2"/>
  <c r="K189" i="2"/>
  <c r="J208" i="2"/>
  <c r="K207" i="2"/>
  <c r="J56" i="2"/>
  <c r="K55" i="2"/>
  <c r="J146" i="2"/>
  <c r="K145" i="2"/>
  <c r="K11" i="2" l="1"/>
  <c r="J147" i="2"/>
  <c r="K146" i="2"/>
  <c r="J57" i="2"/>
  <c r="K56" i="2"/>
  <c r="J209" i="2"/>
  <c r="K208" i="2"/>
  <c r="J191" i="2"/>
  <c r="K190" i="2"/>
  <c r="J35" i="2"/>
  <c r="K34" i="2"/>
  <c r="J169" i="2"/>
  <c r="K168" i="2"/>
  <c r="J230" i="2"/>
  <c r="K229" i="2"/>
  <c r="J79" i="2"/>
  <c r="K78" i="2"/>
  <c r="J13" i="2"/>
  <c r="K12" i="2"/>
  <c r="J109" i="2"/>
  <c r="K108" i="2"/>
  <c r="J110" i="2" l="1"/>
  <c r="K109" i="2"/>
  <c r="J14" i="2"/>
  <c r="K13" i="2"/>
  <c r="J80" i="2"/>
  <c r="K79" i="2"/>
  <c r="J231" i="2"/>
  <c r="K230" i="2"/>
  <c r="J170" i="2"/>
  <c r="K169" i="2"/>
  <c r="J36" i="2"/>
  <c r="K35" i="2"/>
  <c r="J192" i="2"/>
  <c r="K191" i="2"/>
  <c r="J210" i="2"/>
  <c r="K209" i="2"/>
  <c r="J58" i="2"/>
  <c r="K57" i="2"/>
  <c r="J148" i="2"/>
  <c r="K147" i="2"/>
  <c r="J149" i="2" l="1"/>
  <c r="K148" i="2"/>
  <c r="J59" i="2"/>
  <c r="K58" i="2"/>
  <c r="J193" i="2"/>
  <c r="K192" i="2"/>
  <c r="J37" i="2"/>
  <c r="K36" i="2"/>
  <c r="J171" i="2"/>
  <c r="K170" i="2"/>
  <c r="J232" i="2"/>
  <c r="K231" i="2"/>
  <c r="J81" i="2"/>
  <c r="K80" i="2"/>
  <c r="J15" i="2"/>
  <c r="K14" i="2"/>
  <c r="J111" i="2"/>
  <c r="K110" i="2"/>
  <c r="J211" i="2"/>
  <c r="K210" i="2"/>
  <c r="J212" i="2" l="1"/>
  <c r="K211" i="2"/>
  <c r="J112" i="2"/>
  <c r="K111" i="2"/>
  <c r="J16" i="2"/>
  <c r="K15" i="2"/>
  <c r="J82" i="2"/>
  <c r="K81" i="2"/>
  <c r="J233" i="2"/>
  <c r="K232" i="2"/>
  <c r="J172" i="2"/>
  <c r="K171" i="2"/>
  <c r="J38" i="2"/>
  <c r="K37" i="2"/>
  <c r="J194" i="2"/>
  <c r="K193" i="2"/>
  <c r="J60" i="2"/>
  <c r="K59" i="2"/>
  <c r="J150" i="2"/>
  <c r="K149" i="2"/>
  <c r="J151" i="2" l="1"/>
  <c r="K150" i="2"/>
  <c r="J61" i="2"/>
  <c r="K60" i="2"/>
  <c r="J195" i="2"/>
  <c r="K194" i="2"/>
  <c r="J39" i="2"/>
  <c r="K38" i="2"/>
  <c r="J173" i="2"/>
  <c r="K172" i="2"/>
  <c r="J234" i="2"/>
  <c r="K233" i="2"/>
  <c r="J83" i="2"/>
  <c r="K82" i="2"/>
  <c r="J17" i="2"/>
  <c r="K16" i="2"/>
  <c r="J113" i="2"/>
  <c r="K112" i="2"/>
  <c r="J213" i="2"/>
  <c r="K212" i="2"/>
  <c r="J214" i="2" l="1"/>
  <c r="K213" i="2"/>
  <c r="J114" i="2"/>
  <c r="K113" i="2"/>
  <c r="J18" i="2"/>
  <c r="K17" i="2"/>
  <c r="J84" i="2"/>
  <c r="K83" i="2"/>
  <c r="J235" i="2"/>
  <c r="K234" i="2"/>
  <c r="J174" i="2"/>
  <c r="K173" i="2"/>
  <c r="J40" i="2"/>
  <c r="K39" i="2"/>
  <c r="J196" i="2"/>
  <c r="K195" i="2"/>
  <c r="J62" i="2"/>
  <c r="K61" i="2"/>
  <c r="J152" i="2"/>
  <c r="K151" i="2"/>
  <c r="J153" i="2" l="1"/>
  <c r="K152" i="2"/>
  <c r="J63" i="2"/>
  <c r="K62" i="2"/>
  <c r="J197" i="2"/>
  <c r="K196" i="2"/>
  <c r="J41" i="2"/>
  <c r="K40" i="2"/>
  <c r="J175" i="2"/>
  <c r="K174" i="2"/>
  <c r="J236" i="2"/>
  <c r="K235" i="2"/>
  <c r="J85" i="2"/>
  <c r="K84" i="2"/>
  <c r="J19" i="2"/>
  <c r="K18" i="2"/>
  <c r="J115" i="2"/>
  <c r="K114" i="2"/>
  <c r="J215" i="2"/>
  <c r="K214" i="2"/>
  <c r="J216" i="2" l="1"/>
  <c r="K215" i="2"/>
  <c r="J116" i="2"/>
  <c r="K115" i="2"/>
  <c r="J20" i="2"/>
  <c r="K19" i="2"/>
  <c r="J86" i="2"/>
  <c r="K85" i="2"/>
  <c r="J237" i="2"/>
  <c r="K236" i="2"/>
  <c r="J176" i="2"/>
  <c r="K175" i="2"/>
  <c r="J42" i="2"/>
  <c r="K41" i="2"/>
  <c r="J198" i="2"/>
  <c r="K197" i="2"/>
  <c r="J64" i="2"/>
  <c r="K63" i="2"/>
  <c r="J154" i="2"/>
  <c r="K153" i="2"/>
  <c r="J155" i="2" l="1"/>
  <c r="K154" i="2"/>
  <c r="J65" i="2"/>
  <c r="K64" i="2"/>
  <c r="J199" i="2"/>
  <c r="K198" i="2"/>
  <c r="J43" i="2"/>
  <c r="K42" i="2"/>
  <c r="J177" i="2"/>
  <c r="K176" i="2"/>
  <c r="J238" i="2"/>
  <c r="K237" i="2"/>
  <c r="J87" i="2"/>
  <c r="K86" i="2"/>
  <c r="J21" i="2"/>
  <c r="K20" i="2"/>
  <c r="J117" i="2"/>
  <c r="K116" i="2"/>
  <c r="J217" i="2"/>
  <c r="K216" i="2"/>
  <c r="J218" i="2" l="1"/>
  <c r="K217" i="2"/>
  <c r="J118" i="2"/>
  <c r="K117" i="2"/>
  <c r="J22" i="2"/>
  <c r="K21" i="2"/>
  <c r="J88" i="2"/>
  <c r="K87" i="2"/>
  <c r="J239" i="2"/>
  <c r="K238" i="2"/>
  <c r="J178" i="2"/>
  <c r="K177" i="2"/>
  <c r="J44" i="2"/>
  <c r="K43" i="2"/>
  <c r="J200" i="2"/>
  <c r="K199" i="2"/>
  <c r="J66" i="2"/>
  <c r="K65" i="2"/>
  <c r="J156" i="2"/>
  <c r="K155" i="2"/>
  <c r="J157" i="2" l="1"/>
  <c r="K156" i="2"/>
  <c r="J67" i="2"/>
  <c r="K66" i="2"/>
  <c r="J201" i="2"/>
  <c r="K200" i="2"/>
  <c r="J45" i="2"/>
  <c r="K44" i="2"/>
  <c r="J179" i="2"/>
  <c r="K178" i="2"/>
  <c r="J240" i="2"/>
  <c r="K239" i="2"/>
  <c r="J89" i="2"/>
  <c r="K88" i="2"/>
  <c r="J23" i="2"/>
  <c r="K22" i="2"/>
  <c r="J119" i="2"/>
  <c r="K118" i="2"/>
  <c r="J219" i="2"/>
  <c r="K218" i="2"/>
  <c r="J220" i="2" l="1"/>
  <c r="K219" i="2"/>
  <c r="J120" i="2"/>
  <c r="K119" i="2"/>
  <c r="J24" i="2"/>
  <c r="K23" i="2"/>
  <c r="J90" i="2"/>
  <c r="K89" i="2"/>
  <c r="J241" i="2"/>
  <c r="K240" i="2"/>
  <c r="J180" i="2"/>
  <c r="K179" i="2"/>
  <c r="J46" i="2"/>
  <c r="K45" i="2"/>
  <c r="J202" i="2"/>
  <c r="K202" i="2" s="1"/>
  <c r="K201" i="2"/>
  <c r="J68" i="2"/>
  <c r="K67" i="2"/>
  <c r="J158" i="2"/>
  <c r="K157" i="2"/>
  <c r="J159" i="2" l="1"/>
  <c r="K158" i="2"/>
  <c r="J69" i="2"/>
  <c r="K68" i="2"/>
  <c r="J47" i="2"/>
  <c r="K46" i="2"/>
  <c r="J181" i="2"/>
  <c r="K180" i="2"/>
  <c r="J242" i="2"/>
  <c r="K241" i="2"/>
  <c r="J91" i="2"/>
  <c r="K90" i="2"/>
  <c r="J25" i="2"/>
  <c r="K24" i="2"/>
  <c r="J121" i="2"/>
  <c r="K120" i="2"/>
  <c r="J221" i="2"/>
  <c r="K220" i="2"/>
  <c r="J222" i="2" l="1"/>
  <c r="K221" i="2"/>
  <c r="J122" i="2"/>
  <c r="K121" i="2"/>
  <c r="J26" i="2"/>
  <c r="K25" i="2"/>
  <c r="J92" i="2"/>
  <c r="K91" i="2"/>
  <c r="J243" i="2"/>
  <c r="K242" i="2"/>
  <c r="J182" i="2"/>
  <c r="K181" i="2"/>
  <c r="J48" i="2"/>
  <c r="K47" i="2"/>
  <c r="J70" i="2"/>
  <c r="K69" i="2"/>
  <c r="J160" i="2"/>
  <c r="K159" i="2"/>
  <c r="J161" i="2" l="1"/>
  <c r="K160" i="2"/>
  <c r="J71" i="2"/>
  <c r="K70" i="2"/>
  <c r="J49" i="2"/>
  <c r="K48" i="2"/>
  <c r="J183" i="2"/>
  <c r="K182" i="2"/>
  <c r="J244" i="2"/>
  <c r="K243" i="2"/>
  <c r="J93" i="2"/>
  <c r="K92" i="2"/>
  <c r="J27" i="2"/>
  <c r="K26" i="2"/>
  <c r="J123" i="2"/>
  <c r="K122" i="2"/>
  <c r="J223" i="2"/>
  <c r="K222" i="2"/>
  <c r="J224" i="2" l="1"/>
  <c r="K224" i="2" s="1"/>
  <c r="K223" i="2"/>
  <c r="J124" i="2"/>
  <c r="K123" i="2"/>
  <c r="J28" i="2"/>
  <c r="K27" i="2"/>
  <c r="J94" i="2"/>
  <c r="K93" i="2"/>
  <c r="J245" i="2"/>
  <c r="K244" i="2"/>
  <c r="J184" i="2"/>
  <c r="K183" i="2"/>
  <c r="J50" i="2"/>
  <c r="K49" i="2"/>
  <c r="J72" i="2"/>
  <c r="K71" i="2"/>
  <c r="J162" i="2"/>
  <c r="K161" i="2"/>
  <c r="J163" i="2" l="1"/>
  <c r="K163" i="2" s="1"/>
  <c r="K162" i="2"/>
  <c r="J73" i="2"/>
  <c r="K73" i="2" s="1"/>
  <c r="K72" i="2"/>
  <c r="J51" i="2"/>
  <c r="K51" i="2" s="1"/>
  <c r="K50" i="2"/>
  <c r="J185" i="2"/>
  <c r="K185" i="2" s="1"/>
  <c r="K184" i="2"/>
  <c r="J246" i="2"/>
  <c r="K246" i="2" s="1"/>
  <c r="K245" i="2"/>
  <c r="J95" i="2"/>
  <c r="K95" i="2" s="1"/>
  <c r="K94" i="2"/>
  <c r="J29" i="2"/>
  <c r="K29" i="2" s="1"/>
  <c r="K28" i="2"/>
  <c r="J125" i="2"/>
  <c r="K125" i="2" s="1"/>
  <c r="K124" i="2"/>
</calcChain>
</file>

<file path=xl/comments1.xml><?xml version="1.0" encoding="utf-8"?>
<comments xmlns="http://schemas.openxmlformats.org/spreadsheetml/2006/main">
  <authors>
    <author>William Pérez Castañeda</author>
  </authors>
  <commentList>
    <comment ref="E96" authorId="0" shapeId="0">
      <text>
        <r>
          <rPr>
            <b/>
            <sz val="9"/>
            <color indexed="81"/>
            <rFont val="Tahoma"/>
            <family val="2"/>
          </rPr>
          <t>William Pérez Castañeda:</t>
        </r>
        <r>
          <rPr>
            <sz val="9"/>
            <color indexed="81"/>
            <rFont val="Tahoma"/>
            <family val="2"/>
          </rPr>
          <t xml:space="preserve">
NO PREFERENTE</t>
        </r>
      </text>
    </comment>
    <comment ref="E126" authorId="0" shapeId="0">
      <text>
        <r>
          <rPr>
            <b/>
            <sz val="9"/>
            <color indexed="81"/>
            <rFont val="Tahoma"/>
            <family val="2"/>
          </rPr>
          <t>William Pérez Castañeda:</t>
        </r>
        <r>
          <rPr>
            <sz val="9"/>
            <color indexed="81"/>
            <rFont val="Tahoma"/>
            <family val="2"/>
          </rPr>
          <t xml:space="preserve">
NO PREFERENTE</t>
        </r>
      </text>
    </comment>
  </commentList>
</comments>
</file>

<file path=xl/sharedStrings.xml><?xml version="1.0" encoding="utf-8"?>
<sst xmlns="http://schemas.openxmlformats.org/spreadsheetml/2006/main" count="792" uniqueCount="304">
  <si>
    <t>Partidos o Grupo Significativo</t>
  </si>
  <si>
    <t>PARTIDO CONSERVADOR COLOMBIANO</t>
  </si>
  <si>
    <t>PARTIDO SOCIAL DE UNIDAD NACIONAL  PARTIDO DE LA U</t>
  </si>
  <si>
    <t>MOVIMIENTO MIRA</t>
  </si>
  <si>
    <t>PARTIDO LIBERAL COLOMBIANO</t>
  </si>
  <si>
    <t>PARTIDO UNION PATRIOTICA UP</t>
  </si>
  <si>
    <t>PARTIDO CAMBIO RADICAL</t>
  </si>
  <si>
    <t>PARTIDO CENTRO DEMOCRATICO</t>
  </si>
  <si>
    <t>PARTIDO ALIANZA SOCIAL INDEPENDIENTE ASI</t>
  </si>
  <si>
    <t>PARTIDO ALIANZA VERDE</t>
  </si>
  <si>
    <t>PARTIDO POLO DEMOCRATICO ALTERNATIVO</t>
  </si>
  <si>
    <t xml:space="preserve">PARTIDO OPCION CIUDADANA  </t>
  </si>
  <si>
    <t>MOVIMIENTO ALTERNATIVO INDIGENA Y SOCIAL MAIS</t>
  </si>
  <si>
    <t>#PARTIDO</t>
  </si>
  <si>
    <t>PARTIDO O MOVIMIENTO POLÍTICO</t>
  </si>
  <si>
    <t>Cod. Candidato</t>
  </si>
  <si>
    <t xml:space="preserve">Nombres y Apellidos </t>
  </si>
  <si>
    <t>FERNANDO ALBERTO TAMAYO VALLE</t>
  </si>
  <si>
    <t>PABLO ANDRES URIBE MURILLO</t>
  </si>
  <si>
    <t>SANDRA CECILIA VELASQUEZ CARDONA</t>
  </si>
  <si>
    <t>JUAN GUILLERMO CEBALLOS YEPES</t>
  </si>
  <si>
    <t>ALBEIRO ECHEVERRY BUSTAMANTE</t>
  </si>
  <si>
    <t>OMAR VALENCIA DUQUE</t>
  </si>
  <si>
    <t>LUIS MARIO GARCIA SILVA</t>
  </si>
  <si>
    <t>VICTOR MANUEL ORTEGA TAMAYO</t>
  </si>
  <si>
    <t>DANILO SALAZAR IBARRA</t>
  </si>
  <si>
    <t>RICHARD RIVERA CAMPO</t>
  </si>
  <si>
    <t>RICARDO ADOLFO ZAPATA SANCHEZ</t>
  </si>
  <si>
    <t>NESTOR RAUL SOTO TORRES</t>
  </si>
  <si>
    <t>JACOBO NADER CEBALLOS</t>
  </si>
  <si>
    <t>INGRY JOHANA ZAPATA RIVERA</t>
  </si>
  <si>
    <t>JANNET ROCIO MARTINEZ MUÑOZ</t>
  </si>
  <si>
    <t>NATALIA ALZATE SANTA</t>
  </si>
  <si>
    <t>DIEGO ALBERTO RAMOS MONCAYO</t>
  </si>
  <si>
    <t>LAJAS MILENA OSORIO CASTILLO</t>
  </si>
  <si>
    <t>NATALIA CANO VASQUEZ</t>
  </si>
  <si>
    <t>LORENA JARAMILLO VARGAS</t>
  </si>
  <si>
    <t>EDGAR HERNAN LOPEZ RUIZ</t>
  </si>
  <si>
    <t>AUDRY MARIA TORO ECHAVARRIA</t>
  </si>
  <si>
    <t>HENRY PELAEZ CIFUENTES</t>
  </si>
  <si>
    <t>GUSTAVO ADOLFO RIOS GOMEZ</t>
  </si>
  <si>
    <t>DANIS ANTONIO RENTERIA CHALA</t>
  </si>
  <si>
    <t>MARIA GRECY FIGUEROA RUIZ</t>
  </si>
  <si>
    <t>JESUS MARTIN ESTERILLA RUIZ</t>
  </si>
  <si>
    <t>CARLOS ANDRES ARIAS RUEDA</t>
  </si>
  <si>
    <t>TANIA FERNANDEZ SANCHEZ</t>
  </si>
  <si>
    <t>JOAQUIN ENRIQUE OLANO HOYOS</t>
  </si>
  <si>
    <t>CARLOS ARMANDO BURBANO RODRIGUEZ</t>
  </si>
  <si>
    <t>ANGELO RENE RODRIGUEZ MORENO</t>
  </si>
  <si>
    <t>OSCAR ANTONIO MORALES PINZON</t>
  </si>
  <si>
    <t>DANIEL PALOMINO VERGARA</t>
  </si>
  <si>
    <t>JHONY VALENZUELA SINISTERRA</t>
  </si>
  <si>
    <t>YOLIMA YANETH SALAZAR MORCILLO</t>
  </si>
  <si>
    <t>MARGIE ALEJANDRA ALVARADO CARDONA</t>
  </si>
  <si>
    <t>LUZ MARIA SERNA DE GUZMAN</t>
  </si>
  <si>
    <t>MARIO WALTER QUIÑONES ANGULO</t>
  </si>
  <si>
    <t>MERLY RESTREPO TAFUR</t>
  </si>
  <si>
    <t>ESAUD URRUTIA NOEL</t>
  </si>
  <si>
    <t>JUAN GUILLERMO PARRA MONTOYA</t>
  </si>
  <si>
    <t>JUAN CARLOS OLAYA CIRO</t>
  </si>
  <si>
    <t>EDISNEY VALENCIA MARIN</t>
  </si>
  <si>
    <t>MAXIMO CUERO PORTOCARRERO</t>
  </si>
  <si>
    <t>LILIANA VALLEJO CORTES</t>
  </si>
  <si>
    <t>JORGE ISAAC TOBON ESPINAL</t>
  </si>
  <si>
    <t>OLGA LUCIA OLAYA MARTINEZ</t>
  </si>
  <si>
    <t>HUMBERTO SARRIA ESTRADA</t>
  </si>
  <si>
    <t>ALFANIA RENDON GARCIA</t>
  </si>
  <si>
    <t>RODRIGO CAICEDO VILLEGAS</t>
  </si>
  <si>
    <t>MARTHA CECILIA ZUÑIGA TAFUR</t>
  </si>
  <si>
    <t>JOSE FHANOR PALACIOS MINA</t>
  </si>
  <si>
    <t>MARTHA LILIANA PRADO OROZCO</t>
  </si>
  <si>
    <t>GLADYS RODRIGUEZ DE BUITRAGO</t>
  </si>
  <si>
    <t>ALVARO EDUARDO OROZCO MORALES</t>
  </si>
  <si>
    <t>ANDRES DAMIAN VILLA ROSALES</t>
  </si>
  <si>
    <t>ADOLFO LEON MUÑOZ TOBAR</t>
  </si>
  <si>
    <t>GLADYS MARY SOLARTE CAMPO</t>
  </si>
  <si>
    <t>WILMAR ALEXIS BARRERA MUÑOZ</t>
  </si>
  <si>
    <t>MAGDIELI CARDONA RIVERO</t>
  </si>
  <si>
    <t>LUZ MARINA PARRA ZAPATA</t>
  </si>
  <si>
    <t>DIEGO ALFONSO ANACONA ALVAREZ</t>
  </si>
  <si>
    <t>MARIA CLEMENTINA VELEZ GALVEZ</t>
  </si>
  <si>
    <t>JESUS EFREN BANGUERO VALENCIA</t>
  </si>
  <si>
    <t>JAVIER ANDRES MONTERO ZULUAGA</t>
  </si>
  <si>
    <t>ANDRES VELEZ PLAZAS</t>
  </si>
  <si>
    <t>CARLOS HERNANDO PINILLA MALO</t>
  </si>
  <si>
    <t>ALBA ROCIO ESTACIO LOSADA</t>
  </si>
  <si>
    <t>JUAN PABLO ROJAS SUAREZ</t>
  </si>
  <si>
    <t>EDINSON DELGADO MARTINEZ</t>
  </si>
  <si>
    <t>PAOLA ANDREA MENDEZ HERNANDEZ</t>
  </si>
  <si>
    <t>JUAN MANUEL CHICANGO CASTILLO</t>
  </si>
  <si>
    <t>ALICIA OSORIO GONZALEZ</t>
  </si>
  <si>
    <t>MARICEL HERNANDEZ NAVIA</t>
  </si>
  <si>
    <t>AZAI BOLAÑOS CAICEDO</t>
  </si>
  <si>
    <t>JAIME ADOLFO GASCA CUELLAR</t>
  </si>
  <si>
    <t>YURIET MOZORONGO JUANILLO</t>
  </si>
  <si>
    <t>JOSE EVER RIOS ALZATE</t>
  </si>
  <si>
    <t>JORGE ENRIQUE CASALINS TELLO</t>
  </si>
  <si>
    <t>DAVID MANRIQUE MOTTA</t>
  </si>
  <si>
    <t>VICTOR ALFONSO RAMIREZ RESTREPO</t>
  </si>
  <si>
    <t>OSCAR PEÑA FILIGRANA</t>
  </si>
  <si>
    <t>OSCAR JAVIER ORTIZ CUELLAR</t>
  </si>
  <si>
    <t xml:space="preserve">DORA MARIA CHAMORRO GONZALEZ </t>
  </si>
  <si>
    <t>JAIME ANDRES SANCHEZ LUCUARA</t>
  </si>
  <si>
    <t>AMPARO DEL SOCORRO ALVAREZ BENAVIDES</t>
  </si>
  <si>
    <t>VILMA EUGENIA PENAGOS CONCHA</t>
  </si>
  <si>
    <t>JAIR ERAZO GALEANO</t>
  </si>
  <si>
    <t>GILBERTO PAREJA GARCIA</t>
  </si>
  <si>
    <t>ZULENY MORALES GIRALDO</t>
  </si>
  <si>
    <t xml:space="preserve">DIEGO SARDI DE LIMA </t>
  </si>
  <si>
    <t>NORALBA GARCIA MORENO</t>
  </si>
  <si>
    <t>MILTON FABIAN CASTRILLON RODRIGUEZ</t>
  </si>
  <si>
    <t>MARIA LUISA TOBAR HENAO</t>
  </si>
  <si>
    <t>LUIS ENRIQUE GOMEZ GOMEZ</t>
  </si>
  <si>
    <t>ALEXANDRA HERNANDEZ CEDEÑO</t>
  </si>
  <si>
    <t>CARLOS HERNAN RODRIGUEZ NARANJO</t>
  </si>
  <si>
    <t>JAMES RICHARD WIEDMAN AMAYA</t>
  </si>
  <si>
    <t>JULIO CESAR RODRIGUEZ BERNAL</t>
  </si>
  <si>
    <t>ISRAEL LONDOÑO LONDOÑO</t>
  </si>
  <si>
    <t>EDILMA DEL ROSARIO OCAMPO LOPEZ</t>
  </si>
  <si>
    <t>CESAR ANDRES ROMERO MORALES</t>
  </si>
  <si>
    <t>JESUS ANDRES ESPINOSA TRUQUE</t>
  </si>
  <si>
    <t>LINNA PAMELA ORTEGA PARRA</t>
  </si>
  <si>
    <t>GLORIA PATRICIA RENGIFO VALENCIA</t>
  </si>
  <si>
    <t>INES MARIA MENESES ISAZA</t>
  </si>
  <si>
    <t>SILVIO ANTONIO SANCHEZ MUÑOZ</t>
  </si>
  <si>
    <t xml:space="preserve">LAURA ISABEL MUÑOZ CASTRO </t>
  </si>
  <si>
    <t>YEAN AMPARO RIOS HOYOS</t>
  </si>
  <si>
    <t>PEDRO YESID MEJIA GOMEZ</t>
  </si>
  <si>
    <t xml:space="preserve">BETTY PERLAZA GARCIA </t>
  </si>
  <si>
    <t>ROBERTO RODRIGUEZ ZAMUDIO</t>
  </si>
  <si>
    <t>JAIME IGNACIO ARIZABALETA FAJARDO</t>
  </si>
  <si>
    <t>CRISTIAN MAURICIO CLAROS GARCIA</t>
  </si>
  <si>
    <t>NATALIA BEDOYA RENDON</t>
  </si>
  <si>
    <t>GUILLERMO ALARCON BEDOYA</t>
  </si>
  <si>
    <t>HERNAN BANGUERO ANDRADE</t>
  </si>
  <si>
    <t>LINA MARIA MEJIA AGUIRRE</t>
  </si>
  <si>
    <t>JUAN PABLO CASTRO BARRETO</t>
  </si>
  <si>
    <t>JULIANA ANDREA OROZCO JARAMILLO</t>
  </si>
  <si>
    <t>HUMBERTO DE JESUS MERA VIAFARA</t>
  </si>
  <si>
    <t>HUBER ELIAS ANAYA CRUZ</t>
  </si>
  <si>
    <t>JESUS MAGIN</t>
  </si>
  <si>
    <t>ESTIVEL ALDEMAR SANCHEZ ERAZO</t>
  </si>
  <si>
    <t>GUILLERMO MURILLO MARTINEZ</t>
  </si>
  <si>
    <t>DEISY GONZALEZ GUAPACHA</t>
  </si>
  <si>
    <t>CARLOS ARTURO ALONSO GALINDO</t>
  </si>
  <si>
    <t>JHON AYALA FORERO</t>
  </si>
  <si>
    <t>LUIS HERNANDO MARQUINEZ GRUESO</t>
  </si>
  <si>
    <t>CARLOS ENRIQUE FLOREZ HURTADO</t>
  </si>
  <si>
    <t>YADIRA HINESTROZA TORRES</t>
  </si>
  <si>
    <t>KAROLINA SANABRIA ORDOÑEZ</t>
  </si>
  <si>
    <t>SANDRA MILENA CUELLAR RAMIREZ</t>
  </si>
  <si>
    <t>EDNA ROCIO LASPRILLA VIVEROS</t>
  </si>
  <si>
    <t>ISABEL CRISTINA ISAZIGA FERNANDEZ</t>
  </si>
  <si>
    <t>JAMES ALBERTO RENTERIA OLAYA</t>
  </si>
  <si>
    <t>RAFAEL ORLANDO ERAZO LAVERDE</t>
  </si>
  <si>
    <t>WILLIAM DARIO SICACHA GUTIERREZ</t>
  </si>
  <si>
    <t>JORGE WILLIAM ALVAREZ PINEDA</t>
  </si>
  <si>
    <t>CARLOS CUPERTINO ARAGON GARCIA</t>
  </si>
  <si>
    <t>VIVIANA RAMIREZ CHAVEZ</t>
  </si>
  <si>
    <t>LUIS RUBEN ECHEVERRY GAMBOA</t>
  </si>
  <si>
    <t>YULEIDY LARRAHONDO CARABALI</t>
  </si>
  <si>
    <t>JUAN BAUTISTA HERNANDEZ LONDOÑO</t>
  </si>
  <si>
    <t>JAIR MENESES GONZALEZ</t>
  </si>
  <si>
    <t>ARMANDO MUÑOZ GARCIA</t>
  </si>
  <si>
    <t>HERSON YAMID BEJARANO SANCHEZ</t>
  </si>
  <si>
    <t>JAIME SIERRA DELGADILLO</t>
  </si>
  <si>
    <t>ANDRES FELIPE GALINDO FARFAN</t>
  </si>
  <si>
    <t>SANDRA MILENA NAVARRO MONTEMIRANDA</t>
  </si>
  <si>
    <t>HORACIO NELSON CARVAJAL HERNANDEZ</t>
  </si>
  <si>
    <t>CARLOS ANDRES RUIZ SOTO</t>
  </si>
  <si>
    <t>CAROLINA MONTES LOPEZ</t>
  </si>
  <si>
    <t>JOHN ALEXANDER LOPEZ BENAVIDES</t>
  </si>
  <si>
    <t>LUZ DARY PEÑA TORRES</t>
  </si>
  <si>
    <t>SEBASTIAN ESTRADA MARIN</t>
  </si>
  <si>
    <t>SAULO OLAYA FAJARDO</t>
  </si>
  <si>
    <t>JULIAN PANIAGUA GRANADA</t>
  </si>
  <si>
    <t>FLOWER ENRIQUE ROJAS TORRES</t>
  </si>
  <si>
    <t>MARIA VERONICA DIAZ MENESES</t>
  </si>
  <si>
    <t>ROGER NICK SALAMANDO MONTEALGRE</t>
  </si>
  <si>
    <t>SANTIAGO MORENO VICTORIA</t>
  </si>
  <si>
    <t>REINERT MONTOYA LOPEZ</t>
  </si>
  <si>
    <t>JOSE MANUEL ANGULO CASTILLO</t>
  </si>
  <si>
    <t>SANDRA PATRICIA BUENO LOPEZ</t>
  </si>
  <si>
    <t>CAROL VANESA PEREZ MUÑOZ</t>
  </si>
  <si>
    <t>ANGELICA MARIA LASSO SANCHEZ</t>
  </si>
  <si>
    <t>JOHAN SEBASTIAN ROJAS VELEZ</t>
  </si>
  <si>
    <t>PATRICIA MOLINA BELTRAN</t>
  </si>
  <si>
    <t>KATTY LORENA ANGULO CAICEDO</t>
  </si>
  <si>
    <t>JOAQUIN MARINO ORTIZ AVIRAMA</t>
  </si>
  <si>
    <t>VICTOR ALFONSO VILLA GRISALES</t>
  </si>
  <si>
    <t>WILLIAM MOLINA</t>
  </si>
  <si>
    <t>JORGE GUAYARA FIGUEROA</t>
  </si>
  <si>
    <t>HECTOR HERNANDO ALTAMIRANO MAFLA</t>
  </si>
  <si>
    <t>FRANKLIN ARMANDO GARCIA GUERRA</t>
  </si>
  <si>
    <t>JORGE IVAN CABAL MARTINEZ</t>
  </si>
  <si>
    <t>ALFREDO MONDRAGON GARZON</t>
  </si>
  <si>
    <t>CLAUDIA LORENA ZUÑIGA MARTINEZ</t>
  </si>
  <si>
    <t xml:space="preserve">STEVEN VIDAL SANCHEZ </t>
  </si>
  <si>
    <t>CRISTOBAL ERNESTO NAVIA BURITICA</t>
  </si>
  <si>
    <t>MARTHA CECILIA CASAFUZ GRISALES</t>
  </si>
  <si>
    <t>MARIA RUBIELA ARANGO MARIN</t>
  </si>
  <si>
    <t xml:space="preserve">LUZ AMERICA MARIN GARZON </t>
  </si>
  <si>
    <t>EDGAR RAMIREZ DELGADO</t>
  </si>
  <si>
    <t>HENRY JHAMARILK CABEZAS DIAZ</t>
  </si>
  <si>
    <t>LACIDES MORENO CORDOBA</t>
  </si>
  <si>
    <t>WILSON LERMA ABADIA</t>
  </si>
  <si>
    <t>WILSON MORERA CEDEÑO</t>
  </si>
  <si>
    <t>SAMIR ENRIQUE GIL MURILLO</t>
  </si>
  <si>
    <t>LLEYO MORENO HINOJOZA</t>
  </si>
  <si>
    <t>MIGUEL GERONIMO MURILLO VELASQUEZ</t>
  </si>
  <si>
    <t>AMINSON GONZALEZ ORDOÑEZ</t>
  </si>
  <si>
    <t>CELIMO SINISTERRA</t>
  </si>
  <si>
    <t xml:space="preserve">JULIO CESAR MOSQUERA </t>
  </si>
  <si>
    <t>FERNANDO MAYA QUINTANA</t>
  </si>
  <si>
    <t>MARIA YERLY ASPRILLA IBARGUEN</t>
  </si>
  <si>
    <t>EULICER MOSQUERA PEREA</t>
  </si>
  <si>
    <t>KATHERIN JOHANNA MINA MONTENEGRO</t>
  </si>
  <si>
    <t>MARIA DANIR DIAZ LEMUS</t>
  </si>
  <si>
    <t>LUCERO MUÑOZ ROMERO</t>
  </si>
  <si>
    <t>LUZDEY GONZALEZ GALLEGO</t>
  </si>
  <si>
    <t>KAROL YULIETH MEJIA MARIN</t>
  </si>
  <si>
    <t xml:space="preserve">IVETH CARINA NAVIA REINA </t>
  </si>
  <si>
    <t>JOSE MARIA PAYAN VALENCIA</t>
  </si>
  <si>
    <t>LINIS LEYDI FIGUEROA OCAMPO</t>
  </si>
  <si>
    <t>ANDRES VERA RODRIGUEZ</t>
  </si>
  <si>
    <t>NORMA LILIANA PILLIMUE SALAMANCA</t>
  </si>
  <si>
    <t>DUBIANER GALLON CEBALLOS</t>
  </si>
  <si>
    <t>ANA CRISTINA MUÑOZ</t>
  </si>
  <si>
    <t>FLORENTINO GUETOTO</t>
  </si>
  <si>
    <t>WASHINTONG ALOMIA SEGURA</t>
  </si>
  <si>
    <t>SARA ROCIO MONTENEGRO CARVAJAL</t>
  </si>
  <si>
    <t>FREDDY MEDINA ANGULO</t>
  </si>
  <si>
    <t>YONNY ALEXIS ROJAS MARTINEZ</t>
  </si>
  <si>
    <t>PORFIRIO VALLECILLA ANGULO</t>
  </si>
  <si>
    <t>JORGE ERNESTO ANDRADE</t>
  </si>
  <si>
    <t>CHRISTIAN RENE SATASTY ORREGO</t>
  </si>
  <si>
    <t>VANESSA CUENCA POTES</t>
  </si>
  <si>
    <t>DUMAR ALBERTO MORENO MARTINEZ</t>
  </si>
  <si>
    <t>YEINCY JINET LARRAÑAGA ANGULO</t>
  </si>
  <si>
    <t>GREGORIO CARPIO RODALLEGA</t>
  </si>
  <si>
    <t>MARY LUZ ORDOÑEZ GODOY</t>
  </si>
  <si>
    <t>LUIS MILTON CASTILLO QUIÑONEZ</t>
  </si>
  <si>
    <t>MAYRA ALEJANDRA ANDRADE SERNA</t>
  </si>
  <si>
    <t>JACK GARCIA MORALES</t>
  </si>
  <si>
    <t>VOTOS EN BLANCO</t>
  </si>
  <si>
    <t>TOTAL VOTOS VÁLIDOS</t>
  </si>
  <si>
    <t>CURULES A PROVEER</t>
  </si>
  <si>
    <t>UMBRAL</t>
  </si>
  <si>
    <t>CIFRA REPARTIDORA</t>
  </si>
  <si>
    <t xml:space="preserve"> VOTOS</t>
  </si>
  <si>
    <t>CURULES</t>
  </si>
  <si>
    <t>PARTIDOS CON UMBRAL</t>
  </si>
  <si>
    <t>Datos cálculos</t>
  </si>
  <si>
    <t>CURULES OBTENIDAS</t>
  </si>
  <si>
    <t>VOTOS PERDIDOS</t>
  </si>
  <si>
    <t>DISTANCIA AL UMBRAL</t>
  </si>
  <si>
    <t>%VOTOS VALIDOS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</si>
  <si>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</si>
  <si>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</si>
  <si>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</si>
  <si>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</si>
  <si>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</si>
  <si>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</si>
  <si>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</si>
  <si>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</si>
  <si>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</si>
  <si>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</si>
  <si>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</si>
  <si>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</si>
  <si>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</si>
  <si>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</si>
  <si>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</si>
  <si>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</si>
  <si>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</si>
  <si>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</si>
  <si>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</si>
  <si>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</si>
  <si>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</si>
  <si>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CODCANDUNICO</t>
  </si>
  <si>
    <t>VOTOS</t>
  </si>
  <si>
    <t>GÉNERO</t>
  </si>
  <si>
    <t>MASCULINO</t>
  </si>
  <si>
    <t>FEMENINO</t>
  </si>
  <si>
    <t>ELEGIDOS</t>
  </si>
  <si>
    <t>VOTOS CANDIDATOS</t>
  </si>
  <si>
    <t>K&gt;</t>
  </si>
  <si>
    <t>NOMBRE CORTO</t>
  </si>
  <si>
    <t>PCC</t>
  </si>
  <si>
    <t>P DE LA U</t>
  </si>
  <si>
    <t>MIRA</t>
  </si>
  <si>
    <t>PLC</t>
  </si>
  <si>
    <t>UP</t>
  </si>
  <si>
    <t>CAMBIO</t>
  </si>
  <si>
    <t>CENTRODEM</t>
  </si>
  <si>
    <t>ASI</t>
  </si>
  <si>
    <t>ALIANVERDE</t>
  </si>
  <si>
    <t>POLO</t>
  </si>
  <si>
    <t>OPCIÓN</t>
  </si>
  <si>
    <t>MAIS</t>
  </si>
  <si>
    <t>BLANCOS</t>
  </si>
  <si>
    <t>VÁLIDOS</t>
  </si>
  <si>
    <t>CIFRA</t>
  </si>
  <si>
    <t>ELEGIDO</t>
  </si>
  <si>
    <t>NO ELEGIDO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</si>
</sst>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0.0%"/>
    <numFmt numFmtId="166" formatCode="#,##0.00_ ;[Red]\-#,##0.00\ "/>
    <numFmt numFmtId="167" formatCode="_-* #,##0_-;\-* #,##0_-;_-* &quot;-&quot;??_-;_-@_-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4"/>
      <color rgb="FF000000"/>
      <name val="Calibri"/>
      <family val="2"/>
    </font>
    <font>
      <b/>
      <i/>
      <sz val="12"/>
      <color indexed="9"/>
      <name val="Calibri"/>
      <family val="2"/>
    </font>
    <font>
      <b/>
      <sz val="14"/>
      <color theme="1"/>
      <name val="Algerian"/>
      <family val="5"/>
    </font>
    <font>
      <sz val="14"/>
      <color theme="1"/>
      <name val="Algerian"/>
      <family val="5"/>
    </font>
  </fonts>
  <fills count="2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4" tint="0.3999450666829432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 style="thin">
        <color theme="4"/>
      </left>
      <right style="thin">
        <color theme="4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</borders>
  <cellStyleXfs count="4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4" borderId="0" applyNumberFormat="0" applyBorder="0" applyAlignment="0" applyProtection="0"/>
    <xf numFmtId="0" fontId="5" fillId="16" borderId="2" applyNumberFormat="0" applyAlignment="0" applyProtection="0"/>
    <xf numFmtId="0" fontId="6" fillId="17" borderId="3" applyNumberFormat="0" applyAlignment="0" applyProtection="0"/>
    <xf numFmtId="0" fontId="7" fillId="0" borderId="4" applyNumberFormat="0" applyFill="0" applyAlignment="0" applyProtection="0"/>
    <xf numFmtId="0" fontId="8" fillId="0" borderId="0" applyNumberFormat="0" applyFill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21" borderId="0" applyNumberFormat="0" applyBorder="0" applyAlignment="0" applyProtection="0"/>
    <xf numFmtId="0" fontId="9" fillId="7" borderId="2" applyNumberFormat="0" applyAlignment="0" applyProtection="0"/>
    <xf numFmtId="0" fontId="10" fillId="3" borderId="0" applyNumberFormat="0" applyBorder="0" applyAlignment="0" applyProtection="0"/>
    <xf numFmtId="0" fontId="11" fillId="22" borderId="0" applyNumberFormat="0" applyBorder="0" applyAlignment="0" applyProtection="0"/>
    <xf numFmtId="0" fontId="12" fillId="0" borderId="0"/>
    <xf numFmtId="0" fontId="2" fillId="23" borderId="5" applyNumberFormat="0" applyFont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8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10" applyNumberFormat="0" applyFill="0" applyAlignment="0" applyProtection="0"/>
    <xf numFmtId="164" fontId="22" fillId="0" borderId="0" applyFont="0" applyFill="0" applyBorder="0" applyAlignment="0" applyProtection="0"/>
    <xf numFmtId="9" fontId="22" fillId="0" borderId="0" applyFont="0" applyFill="0" applyBorder="0" applyAlignment="0" applyProtection="0"/>
  </cellStyleXfs>
  <cellXfs count="43">
    <xf numFmtId="0" fontId="0" fillId="0" borderId="0" xfId="0"/>
    <xf numFmtId="0" fontId="0" fillId="24" borderId="0" xfId="0" applyFill="1"/>
    <xf numFmtId="0" fontId="0" fillId="0" borderId="0" xfId="0" applyBorder="1"/>
    <xf numFmtId="0" fontId="0" fillId="0" borderId="0" xfId="0" applyBorder="1" applyAlignment="1">
      <alignment wrapText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wrapText="1"/>
      <protection hidden="1"/>
    </xf>
    <xf numFmtId="0" fontId="1" fillId="0" borderId="0" xfId="0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Border="1" applyAlignment="1" applyProtection="1">
      <alignment wrapText="1"/>
      <protection hidden="1"/>
    </xf>
    <xf numFmtId="165" fontId="0" fillId="0" borderId="0" xfId="44" applyNumberFormat="1" applyFont="1" applyBorder="1" applyProtection="1">
      <protection hidden="1"/>
    </xf>
    <xf numFmtId="166" fontId="0" fillId="0" borderId="0" xfId="43" applyNumberFormat="1" applyFont="1" applyBorder="1" applyProtection="1">
      <protection hidden="1"/>
    </xf>
    <xf numFmtId="0" fontId="23" fillId="0" borderId="0" xfId="0" applyFont="1" applyBorder="1" applyProtection="1">
      <protection hidden="1"/>
    </xf>
    <xf numFmtId="0" fontId="23" fillId="0" borderId="0" xfId="0" applyFont="1" applyFill="1" applyBorder="1" applyProtection="1">
      <protection hidden="1"/>
    </xf>
    <xf numFmtId="0" fontId="0" fillId="0" borderId="0" xfId="0" applyFill="1" applyProtection="1">
      <protection hidden="1"/>
    </xf>
    <xf numFmtId="0" fontId="1" fillId="0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applyFill="1" applyBorder="1" applyProtection="1">
      <protection hidden="1"/>
    </xf>
    <xf numFmtId="0" fontId="1" fillId="24" borderId="1" xfId="0" applyFont="1" applyFill="1" applyBorder="1" applyAlignment="1" applyProtection="1">
      <alignment horizontal="center" vertical="center" wrapText="1"/>
      <protection hidden="1"/>
    </xf>
    <xf numFmtId="0" fontId="0" fillId="24" borderId="0" xfId="0" applyFill="1" applyProtection="1"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0" fillId="0" borderId="0" xfId="0" applyProtection="1">
      <protection hidden="1"/>
    </xf>
    <xf numFmtId="0" fontId="0" fillId="24" borderId="1" xfId="0" applyFont="1" applyFill="1" applyBorder="1" applyAlignment="1" applyProtection="1">
      <alignment horizontal="center"/>
      <protection hidden="1"/>
    </xf>
    <xf numFmtId="0" fontId="0" fillId="0" borderId="0" xfId="0" applyProtection="1">
      <protection locked="0"/>
    </xf>
    <xf numFmtId="0" fontId="23" fillId="24" borderId="0" xfId="0" applyFont="1" applyFill="1" applyProtection="1">
      <protection hidden="1"/>
    </xf>
    <xf numFmtId="167" fontId="0" fillId="0" borderId="0" xfId="43" applyNumberFormat="1" applyFont="1" applyFill="1" applyBorder="1" applyProtection="1">
      <protection hidden="1"/>
    </xf>
    <xf numFmtId="167" fontId="23" fillId="24" borderId="0" xfId="43" applyNumberFormat="1" applyFont="1" applyFill="1" applyProtection="1">
      <protection hidden="1"/>
    </xf>
    <xf numFmtId="167" fontId="0" fillId="0" borderId="0" xfId="43" applyNumberFormat="1" applyFont="1" applyProtection="1">
      <protection locked="0"/>
    </xf>
    <xf numFmtId="0" fontId="23" fillId="0" borderId="0" xfId="0" applyFont="1" applyProtection="1">
      <protection hidden="1"/>
    </xf>
    <xf numFmtId="164" fontId="23" fillId="0" borderId="0" xfId="43" applyNumberFormat="1" applyFont="1" applyBorder="1" applyProtection="1">
      <protection hidden="1"/>
    </xf>
    <xf numFmtId="167" fontId="1" fillId="0" borderId="0" xfId="43" applyNumberFormat="1" applyFont="1" applyBorder="1" applyProtection="1">
      <protection locked="0"/>
    </xf>
    <xf numFmtId="167" fontId="1" fillId="0" borderId="0" xfId="43" applyNumberFormat="1" applyFont="1" applyFill="1" applyBorder="1" applyProtection="1">
      <protection locked="0"/>
    </xf>
    <xf numFmtId="167" fontId="1" fillId="0" borderId="0" xfId="43" applyNumberFormat="1" applyFont="1" applyBorder="1" applyProtection="1">
      <protection hidden="1"/>
    </xf>
    <xf numFmtId="0" fontId="25" fillId="27" borderId="15" xfId="16" applyFont="1" applyFill="1" applyBorder="1" applyProtection="1">
      <protection locked="0"/>
    </xf>
    <xf numFmtId="0" fontId="26" fillId="25" borderId="11" xfId="0" applyFont="1" applyFill="1" applyBorder="1" applyAlignment="1" applyProtection="1">
      <alignment wrapText="1"/>
      <protection locked="0"/>
    </xf>
    <xf numFmtId="0" fontId="27" fillId="25" borderId="0" xfId="0" applyFont="1" applyFill="1" applyAlignment="1" applyProtection="1">
      <alignment wrapText="1"/>
      <protection locked="0"/>
    </xf>
    <xf numFmtId="0" fontId="26" fillId="25" borderId="12" xfId="0" applyFont="1" applyFill="1" applyBorder="1" applyAlignment="1" applyProtection="1">
      <alignment horizontal="center" vertical="center" wrapText="1"/>
      <protection locked="0"/>
    </xf>
    <xf numFmtId="0" fontId="25" fillId="27" borderId="13" xfId="16" applyFont="1" applyFill="1" applyBorder="1" applyProtection="1">
      <protection locked="0"/>
    </xf>
    <xf numFmtId="0" fontId="3" fillId="26" borderId="14" xfId="16" applyFill="1" applyBorder="1" applyProtection="1">
      <protection locked="0"/>
    </xf>
    <xf numFmtId="0" fontId="25" fillId="27" borderId="14" xfId="16" applyFont="1" applyFill="1" applyBorder="1" applyProtection="1">
      <protection locked="0"/>
    </xf>
    <xf numFmtId="0" fontId="25" fillId="27" borderId="16" xfId="16" applyFont="1" applyFill="1" applyBorder="1" applyProtection="1">
      <protection locked="0"/>
    </xf>
    <xf numFmtId="0" fontId="0" fillId="26" borderId="0" xfId="0" applyFill="1" applyProtection="1">
      <protection locked="0"/>
    </xf>
    <xf numFmtId="0" fontId="0" fillId="0" borderId="0" xfId="0" applyFill="1" applyProtection="1">
      <protection locked="0"/>
    </xf>
    <xf numFmtId="167" fontId="23" fillId="0" borderId="0" xfId="43" applyNumberFormat="1" applyFont="1" applyBorder="1" applyProtection="1">
      <protection hidden="1"/>
    </xf>
    <xf numFmtId="167" fontId="23" fillId="0" borderId="0" xfId="43" applyNumberFormat="1" applyFont="1" applyProtection="1">
      <protection hidden="1"/>
    </xf>
  </cellXfs>
  <cellStyles count="45">
    <cellStyle name="20% - Énfasis1 2" xfId="1"/>
    <cellStyle name="20% - Énfasis2 2" xfId="2"/>
    <cellStyle name="20% - Énfasis3 2" xfId="3"/>
    <cellStyle name="20% - Énfasis4 2" xfId="4"/>
    <cellStyle name="20% - Énfasis5 2" xfId="5"/>
    <cellStyle name="20% - Énfasis6 2" xfId="6"/>
    <cellStyle name="40% - Énfasis1 2" xfId="7"/>
    <cellStyle name="40% - Énfasis2 2" xfId="8"/>
    <cellStyle name="40% - Énfasis3 2" xfId="9"/>
    <cellStyle name="40% - Énfasis4 2" xfId="10"/>
    <cellStyle name="40% - Énfasis5 2" xfId="11"/>
    <cellStyle name="40% - Énfasis6 2" xfId="12"/>
    <cellStyle name="60% - Énfasis1 2" xfId="13"/>
    <cellStyle name="60% - Énfasis2 2" xfId="14"/>
    <cellStyle name="60% - Énfasis3 2" xfId="15"/>
    <cellStyle name="60% - Énfasis4 2" xfId="16"/>
    <cellStyle name="60% - Énfasis5 2" xfId="17"/>
    <cellStyle name="60% - Énfasis6 2" xfId="18"/>
    <cellStyle name="Buena 2" xfId="19"/>
    <cellStyle name="Cálculo 2" xfId="20"/>
    <cellStyle name="Celda de comprobación 2" xfId="21"/>
    <cellStyle name="Celda vinculada 2" xfId="22"/>
    <cellStyle name="Encabezado 4 2" xfId="23"/>
    <cellStyle name="Énfasis1 2" xfId="24"/>
    <cellStyle name="Énfasis2 2" xfId="25"/>
    <cellStyle name="Énfasis3 2" xfId="26"/>
    <cellStyle name="Énfasis4 2" xfId="27"/>
    <cellStyle name="Énfasis5 2" xfId="28"/>
    <cellStyle name="Énfasis6 2" xfId="29"/>
    <cellStyle name="Entrada 2" xfId="30"/>
    <cellStyle name="Incorrecto 2" xfId="31"/>
    <cellStyle name="Millares" xfId="43" builtinId="3"/>
    <cellStyle name="Neutral 2" xfId="32"/>
    <cellStyle name="Normal" xfId="0" builtinId="0"/>
    <cellStyle name="Normal 2" xfId="33"/>
    <cellStyle name="Notas 2" xfId="34"/>
    <cellStyle name="Porcentaje" xfId="44" builtinId="5"/>
    <cellStyle name="Salida 2" xfId="35"/>
    <cellStyle name="Texto de advertencia 2" xfId="36"/>
    <cellStyle name="Texto explicativo 2" xfId="37"/>
    <cellStyle name="Título 1 2" xfId="38"/>
    <cellStyle name="Título 2 2" xfId="39"/>
    <cellStyle name="Título 3 2" xfId="40"/>
    <cellStyle name="Título 4" xfId="41"/>
    <cellStyle name="Total 2" xfId="42"/>
  </cellStyles>
  <dxfs count="50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ill>
        <patternFill patternType="none">
          <fgColor indexed="64"/>
          <bgColor indexed="65"/>
        </patternFill>
      </fill>
      <protection locked="1" hidden="1"/>
    </dxf>
    <dxf>
      <fill>
        <patternFill patternType="none">
          <fgColor indexed="64"/>
          <bgColor indexed="65"/>
        </patternFill>
      </fill>
      <protection locked="1" hidden="1"/>
    </dxf>
    <dxf>
      <fill>
        <patternFill patternType="none">
          <fgColor indexed="64"/>
          <bgColor indexed="65"/>
        </patternFill>
      </fill>
      <protection locked="1" hidden="1"/>
    </dxf>
    <dxf>
      <protection locked="1" hidden="1"/>
    </dxf>
    <dxf>
      <fill>
        <patternFill patternType="none">
          <fgColor indexed="64"/>
          <bgColor indexed="65"/>
        </patternFill>
      </fill>
      <protection locked="1" hidden="1"/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167" formatCode="_-* #,##0_-;\-* #,##0_-;_-* &quot;-&quot;??_-;_-@_-"/>
      <protection locked="1" hidden="1"/>
    </dxf>
    <dxf>
      <protection locked="1" hidden="1"/>
    </dxf>
    <dxf>
      <protection locked="1" hidden="1"/>
    </dxf>
    <dxf>
      <protection locked="1" hidden="1"/>
    </dxf>
    <dxf>
      <alignment horizontal="general" vertical="bottom" textRotation="0" wrapText="1" indent="0" justifyLastLine="0" shrinkToFit="0" readingOrder="0"/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3.xml"/><Relationship Id="rId10" Type="http://schemas.microsoft.com/office/2006/relationships/vbaProject" Target="vbaProject.bin"/><Relationship Id="rId4" Type="http://schemas.openxmlformats.org/officeDocument/2006/relationships/chartsheet" Target="chartsheets/sheet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 VOTOS PARTIDOS</a:t>
            </a:r>
          </a:p>
        </c:rich>
      </c:tx>
      <c:layout/>
      <c:overlay val="0"/>
    </c:title>
    <c:autoTitleDeleted val="0"/>
    <c:view3D>
      <c:rotX val="15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CIFCAL!$D$1</c:f>
              <c:strCache>
                <c:ptCount val="1"/>
                <c:pt idx="0">
                  <c:v> VOTOS</c:v>
                </c:pt>
              </c:strCache>
            </c:strRef>
          </c:tx>
          <c:explosion val="25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CIFCAL!$B$2:$B$13</c:f>
              <c:strCache>
                <c:ptCount val="12"/>
                <c:pt idx="0">
                  <c:v>PCC</c:v>
                </c:pt>
                <c:pt idx="1">
                  <c:v>P DE LA U</c:v>
                </c:pt>
                <c:pt idx="2">
                  <c:v>MIRA</c:v>
                </c:pt>
                <c:pt idx="3">
                  <c:v>PLC</c:v>
                </c:pt>
                <c:pt idx="4">
                  <c:v>UP</c:v>
                </c:pt>
                <c:pt idx="5">
                  <c:v>CAMBIO</c:v>
                </c:pt>
                <c:pt idx="6">
                  <c:v>CENTRODEM</c:v>
                </c:pt>
                <c:pt idx="7">
                  <c:v>ASI</c:v>
                </c:pt>
                <c:pt idx="8">
                  <c:v>ALIANVERDE</c:v>
                </c:pt>
                <c:pt idx="9">
                  <c:v>POLO</c:v>
                </c:pt>
                <c:pt idx="10">
                  <c:v>OPCIÓN</c:v>
                </c:pt>
                <c:pt idx="11">
                  <c:v>MAIS</c:v>
                </c:pt>
              </c:strCache>
            </c:strRef>
          </c:cat>
          <c:val>
            <c:numRef>
              <c:f>CIFCAL!$D$2:$D$13</c:f>
              <c:numCache>
                <c:formatCode>_-* #,##0_-;\-* #,##0_-;_-* "-"??_-;_-@_-</c:formatCode>
                <c:ptCount val="12"/>
                <c:pt idx="0">
                  <c:v>82599</c:v>
                </c:pt>
                <c:pt idx="1">
                  <c:v>110304</c:v>
                </c:pt>
                <c:pt idx="2">
                  <c:v>24227</c:v>
                </c:pt>
                <c:pt idx="3">
                  <c:v>111760</c:v>
                </c:pt>
                <c:pt idx="4">
                  <c:v>2277</c:v>
                </c:pt>
                <c:pt idx="5">
                  <c:v>93790</c:v>
                </c:pt>
                <c:pt idx="6">
                  <c:v>33823</c:v>
                </c:pt>
                <c:pt idx="7">
                  <c:v>10110</c:v>
                </c:pt>
                <c:pt idx="8">
                  <c:v>43504</c:v>
                </c:pt>
                <c:pt idx="9">
                  <c:v>22110</c:v>
                </c:pt>
                <c:pt idx="10">
                  <c:v>5924</c:v>
                </c:pt>
                <c:pt idx="11">
                  <c:v>3595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CIFCAL!$AC$1</c:f>
              <c:strCache>
                <c:ptCount val="1"/>
                <c:pt idx="0">
                  <c:v>CURULES OBTENIDAS</c:v>
                </c:pt>
              </c:strCache>
            </c:strRef>
          </c:tx>
          <c:explosion val="25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CIFCAL!$B$2:$B$13</c:f>
              <c:strCache>
                <c:ptCount val="12"/>
                <c:pt idx="0">
                  <c:v>PCC</c:v>
                </c:pt>
                <c:pt idx="1">
                  <c:v>P DE LA U</c:v>
                </c:pt>
                <c:pt idx="2">
                  <c:v>MIRA</c:v>
                </c:pt>
                <c:pt idx="3">
                  <c:v>PLC</c:v>
                </c:pt>
                <c:pt idx="4">
                  <c:v>UP</c:v>
                </c:pt>
                <c:pt idx="5">
                  <c:v>CAMBIO</c:v>
                </c:pt>
                <c:pt idx="6">
                  <c:v>CENTRODEM</c:v>
                </c:pt>
                <c:pt idx="7">
                  <c:v>ASI</c:v>
                </c:pt>
                <c:pt idx="8">
                  <c:v>ALIANVERDE</c:v>
                </c:pt>
                <c:pt idx="9">
                  <c:v>POLO</c:v>
                </c:pt>
                <c:pt idx="10">
                  <c:v>OPCIÓN</c:v>
                </c:pt>
                <c:pt idx="11">
                  <c:v>MAIS</c:v>
                </c:pt>
              </c:strCache>
            </c:strRef>
          </c:cat>
          <c:val>
            <c:numRef>
              <c:f>CIFCAL!$AC$2:$AC$13</c:f>
              <c:numCache>
                <c:formatCode>General</c:formatCode>
                <c:ptCount val="12"/>
                <c:pt idx="0">
                  <c:v>3</c:v>
                </c:pt>
                <c:pt idx="1">
                  <c:v>5</c:v>
                </c:pt>
                <c:pt idx="2">
                  <c:v>1</c:v>
                </c:pt>
                <c:pt idx="3">
                  <c:v>5</c:v>
                </c:pt>
                <c:pt idx="4">
                  <c:v>0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CIFCAL!$AE$1</c:f>
              <c:strCache>
                <c:ptCount val="1"/>
                <c:pt idx="0">
                  <c:v>DISTANCIA AL UMBRAL</c:v>
                </c:pt>
              </c:strCache>
            </c:strRef>
          </c:tx>
          <c:cat>
            <c:strRef>
              <c:f>CIFCAL!$B$2:$B$13</c:f>
              <c:strCache>
                <c:ptCount val="12"/>
                <c:pt idx="0">
                  <c:v>PCC</c:v>
                </c:pt>
                <c:pt idx="1">
                  <c:v>P DE LA U</c:v>
                </c:pt>
                <c:pt idx="2">
                  <c:v>MIRA</c:v>
                </c:pt>
                <c:pt idx="3">
                  <c:v>PLC</c:v>
                </c:pt>
                <c:pt idx="4">
                  <c:v>UP</c:v>
                </c:pt>
                <c:pt idx="5">
                  <c:v>CAMBIO</c:v>
                </c:pt>
                <c:pt idx="6">
                  <c:v>CENTRODEM</c:v>
                </c:pt>
                <c:pt idx="7">
                  <c:v>ASI</c:v>
                </c:pt>
                <c:pt idx="8">
                  <c:v>ALIANVERDE</c:v>
                </c:pt>
                <c:pt idx="9">
                  <c:v>POLO</c:v>
                </c:pt>
                <c:pt idx="10">
                  <c:v>OPCIÓN</c:v>
                </c:pt>
                <c:pt idx="11">
                  <c:v>MAIS</c:v>
                </c:pt>
              </c:strCache>
            </c:strRef>
          </c:cat>
          <c:val>
            <c:numRef>
              <c:f>CIFCAL!$AE$2:$AE$13</c:f>
              <c:numCache>
                <c:formatCode>#,##0.00_ ;[Red]\-#,##0.00\ </c:formatCode>
                <c:ptCount val="12"/>
                <c:pt idx="0">
                  <c:v>67609.023809523816</c:v>
                </c:pt>
                <c:pt idx="1">
                  <c:v>7.3585173584252335</c:v>
                </c:pt>
                <c:pt idx="2">
                  <c:v>9237.0238095238092</c:v>
                </c:pt>
                <c:pt idx="3">
                  <c:v>96770.023809523816</c:v>
                </c:pt>
                <c:pt idx="4">
                  <c:v>-12712.976190476191</c:v>
                </c:pt>
                <c:pt idx="5">
                  <c:v>78800.023809523816</c:v>
                </c:pt>
                <c:pt idx="6">
                  <c:v>18833.023809523809</c:v>
                </c:pt>
                <c:pt idx="7">
                  <c:v>-4879.9761904761908</c:v>
                </c:pt>
                <c:pt idx="8">
                  <c:v>28514.023809523809</c:v>
                </c:pt>
                <c:pt idx="9">
                  <c:v>7120.0238095238092</c:v>
                </c:pt>
                <c:pt idx="10">
                  <c:v>-11394.976190476191</c:v>
                </c:pt>
                <c:pt idx="11">
                  <c:v>-11394.976190476191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246808"/>
        <c:axId val="372247592"/>
      </c:radarChart>
      <c:catAx>
        <c:axId val="37224680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372247592"/>
        <c:crosses val="autoZero"/>
        <c:auto val="1"/>
        <c:lblAlgn val="ctr"/>
        <c:lblOffset val="100"/>
        <c:noMultiLvlLbl val="0"/>
      </c:catAx>
      <c:valAx>
        <c:axId val="372247592"/>
        <c:scaling>
          <c:orientation val="minMax"/>
        </c:scaling>
        <c:delete val="0"/>
        <c:axPos val="l"/>
        <c:majorGridlines/>
        <c:numFmt formatCode="#,##0.00_ ;[Red]\-#,##0.00\ " sourceLinked="1"/>
        <c:majorTickMark val="cross"/>
        <c:minorTickMark val="none"/>
        <c:tickLblPos val="nextTo"/>
        <c:crossAx val="37224680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layout/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line3DChart>
        <c:grouping val="standard"/>
        <c:varyColors val="0"/>
        <c:ser>
          <c:idx val="0"/>
          <c:order val="0"/>
          <c:tx>
            <c:strRef>
              <c:f>CIFCAL!$AF$1</c:f>
              <c:strCache>
                <c:ptCount val="1"/>
                <c:pt idx="0">
                  <c:v>%VOTOS VALIDOS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CIFCAL!$B$2:$B$13</c:f>
              <c:strCache>
                <c:ptCount val="12"/>
                <c:pt idx="0">
                  <c:v>PCC</c:v>
                </c:pt>
                <c:pt idx="1">
                  <c:v>P DE LA U</c:v>
                </c:pt>
                <c:pt idx="2">
                  <c:v>MIRA</c:v>
                </c:pt>
                <c:pt idx="3">
                  <c:v>PLC</c:v>
                </c:pt>
                <c:pt idx="4">
                  <c:v>UP</c:v>
                </c:pt>
                <c:pt idx="5">
                  <c:v>CAMBIO</c:v>
                </c:pt>
                <c:pt idx="6">
                  <c:v>CENTRODEM</c:v>
                </c:pt>
                <c:pt idx="7">
                  <c:v>ASI</c:v>
                </c:pt>
                <c:pt idx="8">
                  <c:v>ALIANVERDE</c:v>
                </c:pt>
                <c:pt idx="9">
                  <c:v>POLO</c:v>
                </c:pt>
                <c:pt idx="10">
                  <c:v>OPCIÓN</c:v>
                </c:pt>
                <c:pt idx="11">
                  <c:v>MAIS</c:v>
                </c:pt>
              </c:strCache>
            </c:strRef>
          </c:cat>
          <c:val>
            <c:numRef>
              <c:f>CIFCAL!$AF$2:$AF$13</c:f>
              <c:numCache>
                <c:formatCode>0.0%</c:formatCode>
                <c:ptCount val="12"/>
                <c:pt idx="0">
                  <c:v>0.13119719685694725</c:v>
                </c:pt>
                <c:pt idx="1">
                  <c:v>0.17520279424821983</c:v>
                </c:pt>
                <c:pt idx="2">
                  <c:v>3.8481270817482795E-2</c:v>
                </c:pt>
                <c:pt idx="3">
                  <c:v>0.17751545080124972</c:v>
                </c:pt>
                <c:pt idx="4">
                  <c:v>3.6167025901435723E-3</c:v>
                </c:pt>
                <c:pt idx="5">
                  <c:v>0.14897256738233008</c:v>
                </c:pt>
                <c:pt idx="6">
                  <c:v>5.3723202330446217E-2</c:v>
                </c:pt>
                <c:pt idx="7">
                  <c:v>1.6058350103799524E-2</c:v>
                </c:pt>
                <c:pt idx="8">
                  <c:v>6.9100144699870872E-2</c:v>
                </c:pt>
                <c:pt idx="9">
                  <c:v>3.5118706310089759E-2</c:v>
                </c:pt>
                <c:pt idx="10">
                  <c:v>9.4094625138386127E-3</c:v>
                </c:pt>
                <c:pt idx="11">
                  <c:v>5.7101650468011165E-3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245240"/>
        <c:axId val="372245632"/>
        <c:axId val="139948664"/>
      </c:line3DChart>
      <c:catAx>
        <c:axId val="3722452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72245632"/>
        <c:crosses val="autoZero"/>
        <c:auto val="1"/>
        <c:lblAlgn val="ctr"/>
        <c:lblOffset val="100"/>
        <c:noMultiLvlLbl val="0"/>
      </c:catAx>
      <c:valAx>
        <c:axId val="372245632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372245240"/>
        <c:crosses val="autoZero"/>
        <c:crossBetween val="between"/>
      </c:valAx>
      <c:serAx>
        <c:axId val="139948664"/>
        <c:scaling>
          <c:orientation val="minMax"/>
        </c:scaling>
        <c:delete val="0"/>
        <c:axPos val="b"/>
        <c:majorTickMark val="out"/>
        <c:minorTickMark val="none"/>
        <c:tickLblPos val="nextTo"/>
        <c:crossAx val="372245632"/>
        <c:crosses val="autoZero"/>
      </c:ser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CIFCAL!$AE$1</c:f>
              <c:strCache>
                <c:ptCount val="1"/>
                <c:pt idx="0">
                  <c:v>DISTANCIA AL UMBRAL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CIFCAL!$C$2:$C$13</c:f>
              <c:strCache>
                <c:ptCount val="12"/>
                <c:pt idx="0">
                  <c:v>PARTIDO CONSERVADOR COLOMBIANO</c:v>
                </c:pt>
                <c:pt idx="1">
                  <c:v>PARTIDO SOCIAL DE UNIDAD NACIONAL  PARTIDO DE LA U</c:v>
                </c:pt>
                <c:pt idx="2">
                  <c:v>MOVIMIENTO MIRA</c:v>
                </c:pt>
                <c:pt idx="3">
                  <c:v>PARTIDO LIBERAL COLOMBIANO</c:v>
                </c:pt>
                <c:pt idx="4">
                  <c:v>PARTIDO UNION PATRIOTICA UP</c:v>
                </c:pt>
                <c:pt idx="5">
                  <c:v>PARTIDO CAMBIO RADICAL</c:v>
                </c:pt>
                <c:pt idx="6">
                  <c:v>PARTIDO CENTRO DEMOCRATICO</c:v>
                </c:pt>
                <c:pt idx="7">
                  <c:v>PARTIDO ALIANZA SOCIAL INDEPENDIENTE ASI</c:v>
                </c:pt>
                <c:pt idx="8">
                  <c:v>PARTIDO ALIANZA VERDE</c:v>
                </c:pt>
                <c:pt idx="9">
                  <c:v>PARTIDO POLO DEMOCRATICO ALTERNATIVO</c:v>
                </c:pt>
                <c:pt idx="10">
                  <c:v>PARTIDO OPCION CIUDADANA  </c:v>
                </c:pt>
                <c:pt idx="11">
                  <c:v>MOVIMIENTO ALTERNATIVO INDIGENA Y SOCIAL MAIS</c:v>
                </c:pt>
              </c:strCache>
            </c:strRef>
          </c:cat>
          <c:val>
            <c:numRef>
              <c:f>CIFCAL!$AE$2:$AE$13</c:f>
              <c:numCache>
                <c:formatCode>#,##0.00_ ;[Red]\-#,##0.00\ </c:formatCode>
                <c:ptCount val="12"/>
                <c:pt idx="0">
                  <c:v>67609.023809523816</c:v>
                </c:pt>
                <c:pt idx="1">
                  <c:v>7.3585173584252335</c:v>
                </c:pt>
                <c:pt idx="2">
                  <c:v>9237.0238095238092</c:v>
                </c:pt>
                <c:pt idx="3">
                  <c:v>96770.023809523816</c:v>
                </c:pt>
                <c:pt idx="4">
                  <c:v>-12712.976190476191</c:v>
                </c:pt>
                <c:pt idx="5">
                  <c:v>78800.023809523816</c:v>
                </c:pt>
                <c:pt idx="6">
                  <c:v>18833.023809523809</c:v>
                </c:pt>
                <c:pt idx="7">
                  <c:v>-4879.9761904761908</c:v>
                </c:pt>
                <c:pt idx="8">
                  <c:v>28514.023809523809</c:v>
                </c:pt>
                <c:pt idx="9">
                  <c:v>7120.0238095238092</c:v>
                </c:pt>
                <c:pt idx="10">
                  <c:v>-11394.976190476191</c:v>
                </c:pt>
                <c:pt idx="11">
                  <c:v>-11394.976190476191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391816"/>
        <c:axId val="439393776"/>
      </c:radarChart>
      <c:catAx>
        <c:axId val="439391816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439393776"/>
        <c:crosses val="autoZero"/>
        <c:auto val="1"/>
        <c:lblAlgn val="ctr"/>
        <c:lblOffset val="100"/>
        <c:noMultiLvlLbl val="0"/>
      </c:catAx>
      <c:valAx>
        <c:axId val="439393776"/>
        <c:scaling>
          <c:orientation val="minMax"/>
        </c:scaling>
        <c:delete val="0"/>
        <c:axPos val="l"/>
        <c:majorGridlines/>
        <c:numFmt formatCode="#,##0.00_ ;[Red]\-#,##0.00\ " sourceLinked="1"/>
        <c:majorTickMark val="cross"/>
        <c:minorTickMark val="none"/>
        <c:tickLblPos val="nextTo"/>
        <c:crossAx val="4393918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 VOTOS</a:t>
            </a:r>
            <a:r>
              <a:rPr lang="en-US" baseline="0"/>
              <a:t> Y % DE VOTOS PARTIDOS CONCEJO DE CALI</a:t>
            </a:r>
            <a:endParaRPr lang="en-US"/>
          </a:p>
        </c:rich>
      </c:tx>
      <c:overlay val="1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4.62338842260102E-2"/>
          <c:y val="0"/>
          <c:w val="0.88453831241568814"/>
          <c:h val="1"/>
        </c:manualLayout>
      </c:layout>
      <c:pie3DChart>
        <c:varyColors val="1"/>
        <c:ser>
          <c:idx val="0"/>
          <c:order val="0"/>
          <c:tx>
            <c:strRef>
              <c:f>CIFCAL!$D$1</c:f>
              <c:strCache>
                <c:ptCount val="1"/>
                <c:pt idx="0">
                  <c:v> VOTOS</c:v>
                </c:pt>
              </c:strCache>
            </c:strRef>
          </c:tx>
          <c:dPt>
            <c:idx val="0"/>
            <c:bubble3D val="0"/>
            <c:spPr>
              <a:solidFill>
                <a:schemeClr val="tx2"/>
              </a:solidFill>
            </c:spPr>
          </c:dPt>
          <c:dPt>
            <c:idx val="3"/>
            <c:bubble3D val="0"/>
            <c:spPr>
              <a:solidFill>
                <a:srgbClr val="FF0000"/>
              </a:solidFill>
            </c:spPr>
          </c:dPt>
          <c:dPt>
            <c:idx val="9"/>
            <c:bubble3D val="0"/>
            <c:spPr>
              <a:solidFill>
                <a:srgbClr val="FFFF00"/>
              </a:solidFill>
            </c:spPr>
          </c:dPt>
          <c:dPt>
            <c:idx val="12"/>
            <c:bubble3D val="0"/>
            <c:spPr>
              <a:solidFill>
                <a:schemeClr val="bg1"/>
              </a:solidFill>
            </c:spPr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s-ES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CIFCAL!$C$2:$C$14</c:f>
              <c:strCache>
                <c:ptCount val="13"/>
                <c:pt idx="0">
                  <c:v>PARTIDO CONSERVADOR COLOMBIANO</c:v>
                </c:pt>
                <c:pt idx="1">
                  <c:v>PARTIDO SOCIAL DE UNIDAD NACIONAL  PARTIDO DE LA U</c:v>
                </c:pt>
                <c:pt idx="2">
                  <c:v>MOVIMIENTO MIRA</c:v>
                </c:pt>
                <c:pt idx="3">
                  <c:v>PARTIDO LIBERAL COLOMBIANO</c:v>
                </c:pt>
                <c:pt idx="4">
                  <c:v>PARTIDO UNION PATRIOTICA UP</c:v>
                </c:pt>
                <c:pt idx="5">
                  <c:v>PARTIDO CAMBIO RADICAL</c:v>
                </c:pt>
                <c:pt idx="6">
                  <c:v>PARTIDO CENTRO DEMOCRATICO</c:v>
                </c:pt>
                <c:pt idx="7">
                  <c:v>PARTIDO ALIANZA SOCIAL INDEPENDIENTE ASI</c:v>
                </c:pt>
                <c:pt idx="8">
                  <c:v>PARTIDO ALIANZA VERDE</c:v>
                </c:pt>
                <c:pt idx="9">
                  <c:v>PARTIDO POLO DEMOCRATICO ALTERNATIVO</c:v>
                </c:pt>
                <c:pt idx="10">
                  <c:v>PARTIDO OPCION CIUDADANA  </c:v>
                </c:pt>
                <c:pt idx="11">
                  <c:v>MOVIMIENTO ALTERNATIVO INDIGENA Y SOCIAL MAIS</c:v>
                </c:pt>
                <c:pt idx="12">
                  <c:v>VOTOS EN BLANCO</c:v>
                </c:pt>
              </c:strCache>
            </c:strRef>
          </c:cat>
          <c:val>
            <c:numRef>
              <c:f>CIFCAL!$D$2:$D$14</c:f>
              <c:numCache>
                <c:formatCode>_-* #,##0_-;\-* #,##0_-;_-* "-"??_-;_-@_-</c:formatCode>
                <c:ptCount val="13"/>
                <c:pt idx="0">
                  <c:v>82599</c:v>
                </c:pt>
                <c:pt idx="1">
                  <c:v>110304</c:v>
                </c:pt>
                <c:pt idx="2">
                  <c:v>24227</c:v>
                </c:pt>
                <c:pt idx="3">
                  <c:v>111760</c:v>
                </c:pt>
                <c:pt idx="4">
                  <c:v>2277</c:v>
                </c:pt>
                <c:pt idx="5">
                  <c:v>93790</c:v>
                </c:pt>
                <c:pt idx="6">
                  <c:v>33823</c:v>
                </c:pt>
                <c:pt idx="7">
                  <c:v>10110</c:v>
                </c:pt>
                <c:pt idx="8">
                  <c:v>43504</c:v>
                </c:pt>
                <c:pt idx="9">
                  <c:v>22110</c:v>
                </c:pt>
                <c:pt idx="10">
                  <c:v>5924</c:v>
                </c:pt>
                <c:pt idx="11">
                  <c:v>3595</c:v>
                </c:pt>
                <c:pt idx="12">
                  <c:v>85556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CIFCAL!$AC$1</c:f>
              <c:strCache>
                <c:ptCount val="1"/>
                <c:pt idx="0">
                  <c:v>CURULES OBTENIDAS</c:v>
                </c:pt>
              </c:strCache>
            </c:strRef>
          </c:tx>
          <c:explosion val="25"/>
          <c:dPt>
            <c:idx val="3"/>
            <c:bubble3D val="0"/>
            <c:spPr>
              <a:solidFill>
                <a:srgbClr val="FF0000"/>
              </a:solidFill>
            </c:spPr>
          </c:dPt>
          <c:dPt>
            <c:idx val="8"/>
            <c:bubble3D val="0"/>
            <c:spPr>
              <a:solidFill>
                <a:srgbClr val="00B050"/>
              </a:solidFill>
            </c:spPr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CIFCAL!$C$2:$C$13</c:f>
              <c:strCache>
                <c:ptCount val="12"/>
                <c:pt idx="0">
                  <c:v>PARTIDO CONSERVADOR COLOMBIANO</c:v>
                </c:pt>
                <c:pt idx="1">
                  <c:v>PARTIDO SOCIAL DE UNIDAD NACIONAL  PARTIDO DE LA U</c:v>
                </c:pt>
                <c:pt idx="2">
                  <c:v>MOVIMIENTO MIRA</c:v>
                </c:pt>
                <c:pt idx="3">
                  <c:v>PARTIDO LIBERAL COLOMBIANO</c:v>
                </c:pt>
                <c:pt idx="4">
                  <c:v>PARTIDO UNION PATRIOTICA UP</c:v>
                </c:pt>
                <c:pt idx="5">
                  <c:v>PARTIDO CAMBIO RADICAL</c:v>
                </c:pt>
                <c:pt idx="6">
                  <c:v>PARTIDO CENTRO DEMOCRATICO</c:v>
                </c:pt>
                <c:pt idx="7">
                  <c:v>PARTIDO ALIANZA SOCIAL INDEPENDIENTE ASI</c:v>
                </c:pt>
                <c:pt idx="8">
                  <c:v>PARTIDO ALIANZA VERDE</c:v>
                </c:pt>
                <c:pt idx="9">
                  <c:v>PARTIDO POLO DEMOCRATICO ALTERNATIVO</c:v>
                </c:pt>
                <c:pt idx="10">
                  <c:v>PARTIDO OPCION CIUDADANA  </c:v>
                </c:pt>
                <c:pt idx="11">
                  <c:v>MOVIMIENTO ALTERNATIVO INDIGENA Y SOCIAL MAIS</c:v>
                </c:pt>
              </c:strCache>
            </c:strRef>
          </c:cat>
          <c:val>
            <c:numRef>
              <c:f>CIFCAL!$AC$2:$AC$13</c:f>
              <c:numCache>
                <c:formatCode>General</c:formatCode>
                <c:ptCount val="12"/>
                <c:pt idx="0">
                  <c:v>3</c:v>
                </c:pt>
                <c:pt idx="1">
                  <c:v>5</c:v>
                </c:pt>
                <c:pt idx="2">
                  <c:v>1</c:v>
                </c:pt>
                <c:pt idx="3">
                  <c:v>5</c:v>
                </c:pt>
                <c:pt idx="4">
                  <c:v>0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3"/>
  <sheetViews>
    <sheetView zoomScale="7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ico4"/>
  <sheetViews>
    <sheetView zoomScale="78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ico5"/>
  <sheetViews>
    <sheetView zoomScale="7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161925</xdr:rowOff>
    </xdr:from>
    <xdr:to>
      <xdr:col>2</xdr:col>
      <xdr:colOff>2971800</xdr:colOff>
      <xdr:row>33</xdr:row>
      <xdr:rowOff>47625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3114675</xdr:colOff>
      <xdr:row>18</xdr:row>
      <xdr:rowOff>47625</xdr:rowOff>
    </xdr:from>
    <xdr:to>
      <xdr:col>30</xdr:col>
      <xdr:colOff>428625</xdr:colOff>
      <xdr:row>32</xdr:row>
      <xdr:rowOff>123825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485775</xdr:colOff>
      <xdr:row>18</xdr:row>
      <xdr:rowOff>104775</xdr:rowOff>
    </xdr:from>
    <xdr:to>
      <xdr:col>36</xdr:col>
      <xdr:colOff>381000</xdr:colOff>
      <xdr:row>32</xdr:row>
      <xdr:rowOff>180975</xdr:rowOff>
    </xdr:to>
    <xdr:graphicFrame macro="">
      <xdr:nvGraphicFramePr>
        <xdr:cNvPr id="4" name="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0</xdr:colOff>
      <xdr:row>2</xdr:row>
      <xdr:rowOff>200025</xdr:rowOff>
    </xdr:from>
    <xdr:to>
      <xdr:col>38</xdr:col>
      <xdr:colOff>0</xdr:colOff>
      <xdr:row>14</xdr:row>
      <xdr:rowOff>85725</xdr:rowOff>
    </xdr:to>
    <xdr:graphicFrame macro="">
      <xdr:nvGraphicFramePr>
        <xdr:cNvPr id="5" name="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0</xdr:row>
          <xdr:rowOff>9525</xdr:rowOff>
        </xdr:from>
        <xdr:to>
          <xdr:col>11</xdr:col>
          <xdr:colOff>733425</xdr:colOff>
          <xdr:row>0</xdr:row>
          <xdr:rowOff>466725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400" b="1" i="1" u="none" strike="noStrike" baseline="0">
                  <a:solidFill>
                    <a:srgbClr val="000000"/>
                  </a:solidFill>
                  <a:latin typeface="Calibri"/>
                </a:rPr>
                <a:t>VER ELEGIDOS</a:t>
              </a:r>
            </a:p>
          </xdr:txBody>
        </xdr:sp>
        <xdr:clientData fPrintsWithSheet="0"/>
      </xdr:twoCellAnchor>
    </mc:Choice>
    <mc:Fallback/>
  </mc:AlternateContent>
  <xdr:oneCellAnchor>
    <xdr:from>
      <xdr:col>10</xdr:col>
      <xdr:colOff>200025</xdr:colOff>
      <xdr:row>2</xdr:row>
      <xdr:rowOff>0</xdr:rowOff>
    </xdr:from>
    <xdr:ext cx="1285875" cy="627368"/>
    <xdr:sp macro="[0]!LIMPIARDATOS" textlink="">
      <xdr:nvSpPr>
        <xdr:cNvPr id="2" name="1 Elipse"/>
        <xdr:cNvSpPr/>
      </xdr:nvSpPr>
      <xdr:spPr>
        <a:xfrm>
          <a:off x="10487025" y="685800"/>
          <a:ext cx="1285875" cy="627368"/>
        </a:xfrm>
        <a:prstGeom prst="ellipse">
          <a:avLst/>
        </a:prstGeom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AutoFit/>
        </a:bodyPr>
        <a:lstStyle/>
        <a:p>
          <a:pPr algn="l"/>
          <a:r>
            <a:rPr lang="es-CO" sz="1160" b="1" i="1" baseline="0"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effectLst>
                <a:outerShdw blurRad="50800" dist="50800" dir="5400000" algn="ctr" rotWithShape="0">
                  <a:schemeClr val="bg1">
                    <a:lumMod val="75000"/>
                  </a:schemeClr>
                </a:outerShdw>
              </a:effectLst>
            </a:rPr>
            <a:t>LIMPIAR</a:t>
          </a:r>
        </a:p>
        <a:p>
          <a:pPr algn="l"/>
          <a:r>
            <a:rPr lang="es-CO" sz="1100"/>
            <a:t>DATOS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id="1" name="Tabla1" displayName="Tabla1" ref="A1:AF18" totalsRowShown="0" headerRowDxfId="49">
  <autoFilter ref="A1:AF18"/>
  <tableColumns count="32">
    <tableColumn id="1" name="#PARTIDO" dataDxfId="48"/>
    <tableColumn id="32" name="NOMBRE CORTO" dataDxfId="47"/>
    <tableColumn id="2" name="Partidos o Grupo Significativo" dataDxfId="46"/>
    <tableColumn id="3" name=" VOTOS" dataDxfId="45" dataCellStyle="Millares"/>
    <tableColumn id="4" name="CURULES"/>
    <tableColumn id="5" name="PARTIDOS CON UMBRAL" dataDxfId="44"/>
    <tableColumn id="6" name="Datos cálculos" dataDxfId="43"/>
    <tableColumn id="7" name="1" dataDxfId="42"/>
    <tableColumn id="8" name="2" dataDxfId="41"/>
    <tableColumn id="9" name="3" dataDxfId="40"/>
    <tableColumn id="10" name="4" dataDxfId="39"/>
    <tableColumn id="11" name="5" dataDxfId="38"/>
    <tableColumn id="12" name="6" dataDxfId="37"/>
    <tableColumn id="13" name="7" dataDxfId="36"/>
    <tableColumn id="14" name="8" dataDxfId="35"/>
    <tableColumn id="15" name="9" dataDxfId="34"/>
    <tableColumn id="16" name="10" dataDxfId="33"/>
    <tableColumn id="17" name="11" dataDxfId="32"/>
    <tableColumn id="18" name="12" dataDxfId="31"/>
    <tableColumn id="19" name="13" dataDxfId="30"/>
    <tableColumn id="20" name="14" dataDxfId="29"/>
    <tableColumn id="21" name="15" dataDxfId="28"/>
    <tableColumn id="22" name="16" dataDxfId="27"/>
    <tableColumn id="23" name="17" dataDxfId="26"/>
    <tableColumn id="24" name="18" dataDxfId="25"/>
    <tableColumn id="25" name="19" dataDxfId="24"/>
    <tableColumn id="26" name="20" dataDxfId="23"/>
    <tableColumn id="27" name="21" dataDxfId="22"/>
    <tableColumn id="28" name="CURULES OBTENIDAS" dataDxfId="21"/>
    <tableColumn id="29" name="VOTOS PERDIDOS" dataDxfId="20"/>
    <tableColumn id="30" name="DISTANCIA AL UMBRAL" dataDxfId="19"/>
    <tableColumn id="31" name="%VOTOS VALIDOS" dataDxfId="18"/>
  </tableColumns>
  <tableStyleInfo name="TableStyleMedium22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7:K246" totalsRowShown="0" headerRowDxfId="12" dataDxfId="11">
  <tableColumns count="11">
    <tableColumn id="1" name="CODCANDUNICO" dataDxfId="10">
      <calculatedColumnFormula>CONCATENATE(B8,D8)</calculatedColumnFormula>
    </tableColumn>
    <tableColumn id="2" name="#PARTIDO" dataDxfId="9"/>
    <tableColumn id="3" name="PARTIDO O MOVIMIENTO POLÍTICO" dataDxfId="8"/>
    <tableColumn id="4" name="Cod. Candidato" dataDxfId="7"/>
    <tableColumn id="5" name="Nombres y Apellidos " dataDxfId="6"/>
    <tableColumn id="6" name="GÉNERO" dataDxfId="5"/>
    <tableColumn id="10" name="VOTOS CANDIDATOS" dataDxfId="4"/>
    <tableColumn id="7" name="VOTOS" dataDxfId="3"/>
    <tableColumn id="8" name="CURULES" dataDxfId="2"/>
    <tableColumn id="11" name="K&gt;" dataDxfId="1"/>
    <tableColumn id="9" name="ELEGIDOS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B050"/>
  </sheetPr>
  <dimension ref="A1:AF18"/>
  <sheetViews>
    <sheetView tabSelected="1" topLeftCell="A2" workbookViewId="0">
      <selection activeCell="D2" sqref="D2"/>
    </sheetView>
  </sheetViews>
  <sheetFormatPr baseColWidth="10" defaultRowHeight="15" x14ac:dyDescent="0.25"/>
  <cols>
    <col min="1" max="1" width="12" style="2" customWidth="1"/>
    <col min="2" max="2" width="12.140625" style="2" bestFit="1" customWidth="1"/>
    <col min="3" max="3" width="52.5703125" style="2" bestFit="1" customWidth="1"/>
    <col min="4" max="4" width="14.42578125" style="2" bestFit="1" customWidth="1"/>
    <col min="5" max="5" width="0" style="2" hidden="1" customWidth="1"/>
    <col min="6" max="6" width="24.28515625" style="2" customWidth="1"/>
    <col min="7" max="7" width="11.42578125" style="2" hidden="1" customWidth="1"/>
    <col min="8" max="16" width="2" style="2" hidden="1" customWidth="1"/>
    <col min="17" max="28" width="3" style="2" hidden="1" customWidth="1"/>
    <col min="29" max="29" width="11" style="2" customWidth="1"/>
    <col min="30" max="30" width="11.28515625" style="2" customWidth="1"/>
    <col min="31" max="31" width="12.5703125" style="2" customWidth="1"/>
    <col min="32" max="32" width="11.85546875" style="2" customWidth="1"/>
    <col min="33" max="16384" width="11.42578125" style="2"/>
  </cols>
  <sheetData>
    <row r="1" spans="1:32" s="3" customFormat="1" ht="45" x14ac:dyDescent="0.25">
      <c r="A1" s="5" t="s">
        <v>13</v>
      </c>
      <c r="B1" s="5" t="s">
        <v>286</v>
      </c>
      <c r="C1" s="6" t="s">
        <v>0</v>
      </c>
      <c r="D1" s="5" t="s">
        <v>249</v>
      </c>
      <c r="E1" s="5" t="s">
        <v>250</v>
      </c>
      <c r="F1" s="5" t="s">
        <v>251</v>
      </c>
      <c r="G1" s="5" t="s">
        <v>252</v>
      </c>
      <c r="H1" s="7" t="s">
        <v>257</v>
      </c>
      <c r="I1" s="7" t="s">
        <v>258</v>
      </c>
      <c r="J1" s="7" t="s">
        <v>259</v>
      </c>
      <c r="K1" s="7" t="s">
        <v>260</v>
      </c>
      <c r="L1" s="7" t="s">
        <v>261</v>
      </c>
      <c r="M1" s="7" t="s">
        <v>262</v>
      </c>
      <c r="N1" s="7" t="s">
        <v>263</v>
      </c>
      <c r="O1" s="7" t="s">
        <v>264</v>
      </c>
      <c r="P1" s="7" t="s">
        <v>265</v>
      </c>
      <c r="Q1" s="7" t="s">
        <v>266</v>
      </c>
      <c r="R1" s="7" t="s">
        <v>267</v>
      </c>
      <c r="S1" s="7" t="s">
        <v>268</v>
      </c>
      <c r="T1" s="7" t="s">
        <v>269</v>
      </c>
      <c r="U1" s="7" t="s">
        <v>270</v>
      </c>
      <c r="V1" s="7" t="s">
        <v>271</v>
      </c>
      <c r="W1" s="7" t="s">
        <v>272</v>
      </c>
      <c r="X1" s="7" t="s">
        <v>273</v>
      </c>
      <c r="Y1" s="7" t="s">
        <v>274</v>
      </c>
      <c r="Z1" s="7" t="s">
        <v>275</v>
      </c>
      <c r="AA1" s="7" t="s">
        <v>276</v>
      </c>
      <c r="AB1" s="7" t="s">
        <v>277</v>
      </c>
      <c r="AC1" s="5" t="s">
        <v>253</v>
      </c>
      <c r="AD1" s="5" t="s">
        <v>254</v>
      </c>
      <c r="AE1" s="5" t="s">
        <v>255</v>
      </c>
      <c r="AF1" s="5" t="s">
        <v>256</v>
      </c>
    </row>
    <row r="2" spans="1:32" ht="18.75" x14ac:dyDescent="0.3">
      <c r="A2" s="4">
        <v>1</v>
      </c>
      <c r="B2" s="4" t="s">
        <v>287</v>
      </c>
      <c r="C2" s="4" t="s">
        <v>1</v>
      </c>
      <c r="D2" s="28">
        <v>82599</v>
      </c>
      <c r="E2" s="4">
        <f>+PARTIDO_CONSERVADOR_COLOMBIANO/CIFRA_REPARTIDORA</f>
        <v>3.7441525239338556</v>
      </c>
      <c r="F2" s="4" t="str">
        <f>IF(PARTIDO_CONSERVADOR_COLOMBIANO&gt;=UMBRAL,"PASA","NO PASA")</f>
        <v>PASA</v>
      </c>
      <c r="G2" s="4">
        <f>IF(PARTIDO_CONSERVADOR_COLOMBIANO&gt;=UMBRAL,PARTIDO_CONSERVADOR_COLOMBIANO,0)</f>
        <v>82599</v>
      </c>
      <c r="H2" s="4">
        <f t="shared" ref="H2" si="0">+G2/1</f>
        <v>82599</v>
      </c>
      <c r="I2" s="4">
        <f t="shared" ref="I2" si="1">+G2/2</f>
        <v>41299.5</v>
      </c>
      <c r="J2" s="4">
        <f t="shared" ref="J2" si="2">+G2/3</f>
        <v>27533</v>
      </c>
      <c r="K2" s="4">
        <f t="shared" ref="K2" si="3">+G2/4</f>
        <v>20649.75</v>
      </c>
      <c r="L2" s="4">
        <f t="shared" ref="L2" si="4">+G2/5</f>
        <v>16519.8</v>
      </c>
      <c r="M2" s="4">
        <f t="shared" ref="M2" si="5">+G2/6</f>
        <v>13766.5</v>
      </c>
      <c r="N2" s="4">
        <f t="shared" ref="N2" si="6">+G2/7</f>
        <v>11799.857142857143</v>
      </c>
      <c r="O2" s="4">
        <f t="shared" ref="O2" si="7">+G2/8</f>
        <v>10324.875</v>
      </c>
      <c r="P2" s="4">
        <f t="shared" ref="P2" si="8">+G2/9</f>
        <v>9177.6666666666661</v>
      </c>
      <c r="Q2" s="4">
        <f t="shared" ref="Q2" si="9">+G2/10</f>
        <v>8259.9</v>
      </c>
      <c r="R2" s="4">
        <f t="shared" ref="R2" si="10">+G2/11</f>
        <v>7509</v>
      </c>
      <c r="S2" s="4">
        <f t="shared" ref="S2" si="11">+G2/12</f>
        <v>6883.25</v>
      </c>
      <c r="T2" s="4">
        <f t="shared" ref="T2" si="12">+G2/13</f>
        <v>6353.7692307692305</v>
      </c>
      <c r="U2" s="4">
        <f t="shared" ref="U2" si="13">+G2/14</f>
        <v>5899.9285714285716</v>
      </c>
      <c r="V2" s="4">
        <f t="shared" ref="V2" si="14">+G2/15</f>
        <v>5506.6</v>
      </c>
      <c r="W2" s="4">
        <f>+G2/16</f>
        <v>5162.4375</v>
      </c>
      <c r="X2" s="4">
        <f>+G2/17</f>
        <v>4858.7647058823532</v>
      </c>
      <c r="Y2" s="4">
        <f>+G2/18</f>
        <v>4588.833333333333</v>
      </c>
      <c r="Z2" s="4">
        <f>+G2/19</f>
        <v>4347.3157894736842</v>
      </c>
      <c r="AA2" s="4">
        <f>+G2/20</f>
        <v>4129.95</v>
      </c>
      <c r="AB2" s="4">
        <f>+G2/21</f>
        <v>3933.2857142857142</v>
      </c>
      <c r="AC2" s="10">
        <f>INT(E2)</f>
        <v>3</v>
      </c>
      <c r="AD2" s="4">
        <f>+PARTIDO_CONSERVADOR_COLOMBIANO-(AC2*CIFRA_REPARTIDORA)</f>
        <v>16416.600000000006</v>
      </c>
      <c r="AE2" s="9">
        <f>+PARTIDO_CONSERVADOR_COLOMBIANO-UMBRAL</f>
        <v>67609.023809523816</v>
      </c>
      <c r="AF2" s="8">
        <f>+PARTIDO_CONSERVADOR_COLOMBIANO/TOTAL_VOTOS_VÁLIDOS</f>
        <v>0.13119719685694725</v>
      </c>
    </row>
    <row r="3" spans="1:32" ht="18.75" x14ac:dyDescent="0.3">
      <c r="A3" s="4">
        <v>2</v>
      </c>
      <c r="B3" s="4" t="s">
        <v>288</v>
      </c>
      <c r="C3" s="4" t="s">
        <v>2</v>
      </c>
      <c r="D3" s="28">
        <v>110304</v>
      </c>
      <c r="E3" s="4">
        <f>+PARTIDO_SOCIAL_DE_UNIDAD_NACIONAL__PARTIDO_DE_LA_U/CIFRA_REPARTIDORA</f>
        <v>5</v>
      </c>
      <c r="F3" s="4" t="str">
        <f>IF(PARTIDO_SOCIAL_DE_UNIDAD_NACIONAL__PARTIDO_DE_LA_U&gt;=UMBRAL,"PASA","NO PASA")</f>
        <v>PASA</v>
      </c>
      <c r="G3" s="4">
        <f>IF(PARTIDO_SOCIAL_DE_UNIDAD_NACIONAL__PARTIDO_DE_LA_U&gt;=UMBRAL,PARTIDO_SOCIAL_DE_UNIDAD_NACIONAL__PARTIDO_DE_LA_U,0)</f>
        <v>110304</v>
      </c>
      <c r="H3" s="4">
        <f t="shared" ref="H3:H13" si="15">+G3/1</f>
        <v>110304</v>
      </c>
      <c r="I3" s="4">
        <f t="shared" ref="I3:I13" si="16">+G3/2</f>
        <v>55152</v>
      </c>
      <c r="J3" s="4">
        <f t="shared" ref="J3:J13" si="17">+G3/3</f>
        <v>36768</v>
      </c>
      <c r="K3" s="4">
        <f t="shared" ref="K3:K13" si="18">+G3/4</f>
        <v>27576</v>
      </c>
      <c r="L3" s="4">
        <f t="shared" ref="L3:L13" si="19">+G3/5</f>
        <v>22060.799999999999</v>
      </c>
      <c r="M3" s="4">
        <f t="shared" ref="M3:M13" si="20">+G3/6</f>
        <v>18384</v>
      </c>
      <c r="N3" s="4">
        <f t="shared" ref="N3:N13" si="21">+G3/7</f>
        <v>15757.714285714286</v>
      </c>
      <c r="O3" s="4">
        <f t="shared" ref="O3:O13" si="22">+G3/8</f>
        <v>13788</v>
      </c>
      <c r="P3" s="4">
        <f t="shared" ref="P3:P13" si="23">+G3/9</f>
        <v>12256</v>
      </c>
      <c r="Q3" s="4">
        <f t="shared" ref="Q3:Q13" si="24">+G3/10</f>
        <v>11030.4</v>
      </c>
      <c r="R3" s="4">
        <f t="shared" ref="R3:R13" si="25">+G3/11</f>
        <v>10027.636363636364</v>
      </c>
      <c r="S3" s="4">
        <f t="shared" ref="S3:S13" si="26">+G3/12</f>
        <v>9192</v>
      </c>
      <c r="T3" s="4">
        <f t="shared" ref="T3:T13" si="27">+G3/13</f>
        <v>8484.9230769230762</v>
      </c>
      <c r="U3" s="4">
        <f t="shared" ref="U3:U13" si="28">+G3/14</f>
        <v>7878.8571428571431</v>
      </c>
      <c r="V3" s="4">
        <f t="shared" ref="V3:V13" si="29">+G3/15</f>
        <v>7353.6</v>
      </c>
      <c r="W3" s="4">
        <f t="shared" ref="W3:W13" si="30">+G3/16</f>
        <v>6894</v>
      </c>
      <c r="X3" s="4">
        <f t="shared" ref="X3:X13" si="31">+G3/17</f>
        <v>6488.4705882352937</v>
      </c>
      <c r="Y3" s="4">
        <f t="shared" ref="Y3:Y13" si="32">+G3/18</f>
        <v>6128</v>
      </c>
      <c r="Z3" s="4">
        <f t="shared" ref="Z3:Z13" si="33">+G3/19</f>
        <v>5805.4736842105267</v>
      </c>
      <c r="AA3" s="4">
        <f t="shared" ref="AA3:AA13" si="34">+G3/20</f>
        <v>5515.2</v>
      </c>
      <c r="AB3" s="4">
        <f t="shared" ref="AB3:AB13" si="35">+G3/21</f>
        <v>5252.5714285714284</v>
      </c>
      <c r="AC3" s="10">
        <f t="shared" ref="AC3:AC13" si="36">INT(E3)</f>
        <v>5</v>
      </c>
      <c r="AD3" s="4">
        <f>+PARTIDO_SOCIAL_DE_UNIDAD_NACIONAL__PARTIDO_DE_LA_U-(AC3*CIFRA_REPARTIDORA)</f>
        <v>0</v>
      </c>
      <c r="AE3" s="9">
        <f>+PARTIDO_SOCIAL_DE_UNIDAD_NACIONAL__PARTIDO_DE_LA_U/UMBRAL</f>
        <v>7.3585173584252335</v>
      </c>
      <c r="AF3" s="8">
        <f>+PARTIDO_SOCIAL_DE_UNIDAD_NACIONAL__PARTIDO_DE_LA_U/TOTAL_VOTOS_VÁLIDOS</f>
        <v>0.17520279424821983</v>
      </c>
    </row>
    <row r="4" spans="1:32" ht="18.75" x14ac:dyDescent="0.3">
      <c r="A4" s="4">
        <v>3</v>
      </c>
      <c r="B4" s="4" t="s">
        <v>289</v>
      </c>
      <c r="C4" s="4" t="s">
        <v>3</v>
      </c>
      <c r="D4" s="28">
        <v>24227</v>
      </c>
      <c r="E4" s="4">
        <f>+MOVIMIENTO_MIRA/CIFRA_REPARTIDORA</f>
        <v>1.0981922686393966</v>
      </c>
      <c r="F4" s="4" t="str">
        <f>IF(MOVIMIENTO_MIRA&gt;=UMBRAL,"PASA","NO PASA")</f>
        <v>PASA</v>
      </c>
      <c r="G4" s="4">
        <f>IF(MOVIMIENTO_MIRA&gt;=UMBRAL,MOVIMIENTO_MIRA,0)</f>
        <v>24227</v>
      </c>
      <c r="H4" s="4">
        <f t="shared" si="15"/>
        <v>24227</v>
      </c>
      <c r="I4" s="4">
        <f t="shared" si="16"/>
        <v>12113.5</v>
      </c>
      <c r="J4" s="4">
        <f t="shared" si="17"/>
        <v>8075.666666666667</v>
      </c>
      <c r="K4" s="4">
        <f t="shared" si="18"/>
        <v>6056.75</v>
      </c>
      <c r="L4" s="4">
        <f t="shared" si="19"/>
        <v>4845.3999999999996</v>
      </c>
      <c r="M4" s="4">
        <f t="shared" si="20"/>
        <v>4037.8333333333335</v>
      </c>
      <c r="N4" s="4">
        <f t="shared" si="21"/>
        <v>3461</v>
      </c>
      <c r="O4" s="4">
        <f t="shared" si="22"/>
        <v>3028.375</v>
      </c>
      <c r="P4" s="4">
        <f t="shared" si="23"/>
        <v>2691.8888888888887</v>
      </c>
      <c r="Q4" s="4">
        <f t="shared" si="24"/>
        <v>2422.6999999999998</v>
      </c>
      <c r="R4" s="4">
        <f t="shared" si="25"/>
        <v>2202.4545454545455</v>
      </c>
      <c r="S4" s="4">
        <f t="shared" si="26"/>
        <v>2018.9166666666667</v>
      </c>
      <c r="T4" s="4">
        <f t="shared" si="27"/>
        <v>1863.6153846153845</v>
      </c>
      <c r="U4" s="4">
        <f t="shared" si="28"/>
        <v>1730.5</v>
      </c>
      <c r="V4" s="4">
        <f t="shared" si="29"/>
        <v>1615.1333333333334</v>
      </c>
      <c r="W4" s="4">
        <f t="shared" si="30"/>
        <v>1514.1875</v>
      </c>
      <c r="X4" s="4">
        <f t="shared" si="31"/>
        <v>1425.1176470588234</v>
      </c>
      <c r="Y4" s="4">
        <f t="shared" si="32"/>
        <v>1345.9444444444443</v>
      </c>
      <c r="Z4" s="4">
        <f t="shared" si="33"/>
        <v>1275.1052631578948</v>
      </c>
      <c r="AA4" s="4">
        <f t="shared" si="34"/>
        <v>1211.3499999999999</v>
      </c>
      <c r="AB4" s="4">
        <f t="shared" si="35"/>
        <v>1153.6666666666667</v>
      </c>
      <c r="AC4" s="10">
        <f t="shared" si="36"/>
        <v>1</v>
      </c>
      <c r="AD4" s="4">
        <f>+MOVIMIENTO_MIRA-(AC4*CIFRA_REPARTIDORA)</f>
        <v>2166.2000000000007</v>
      </c>
      <c r="AE4" s="9">
        <f>+MOVIMIENTO_MIRA-UMBRAL</f>
        <v>9237.0238095238092</v>
      </c>
      <c r="AF4" s="8">
        <f>+MOVIMIENTO_MIRA/TOTAL_VOTOS_VÁLIDOS</f>
        <v>3.8481270817482795E-2</v>
      </c>
    </row>
    <row r="5" spans="1:32" ht="18.75" x14ac:dyDescent="0.3">
      <c r="A5" s="4">
        <v>4</v>
      </c>
      <c r="B5" s="4" t="s">
        <v>290</v>
      </c>
      <c r="C5" s="4" t="s">
        <v>4</v>
      </c>
      <c r="D5" s="29">
        <v>111760</v>
      </c>
      <c r="E5" s="4">
        <f>+PARTIDO_LIBERAL_COLOMBIANO/CIFRA_REPARTIDORA</f>
        <v>5.0659994197853209</v>
      </c>
      <c r="F5" s="4" t="str">
        <f>IF(PARTIDO_LIBERAL_COLOMBIANO&gt;=UMBRAL,"PASA","NO PASA")</f>
        <v>PASA</v>
      </c>
      <c r="G5" s="4">
        <f>IF(PARTIDO_LIBERAL_COLOMBIANO&gt;=UMBRAL,PARTIDO_LIBERAL_COLOMBIANO,0)</f>
        <v>111760</v>
      </c>
      <c r="H5" s="4">
        <f t="shared" si="15"/>
        <v>111760</v>
      </c>
      <c r="I5" s="4">
        <f t="shared" si="16"/>
        <v>55880</v>
      </c>
      <c r="J5" s="4">
        <f t="shared" si="17"/>
        <v>37253.333333333336</v>
      </c>
      <c r="K5" s="4">
        <f t="shared" si="18"/>
        <v>27940</v>
      </c>
      <c r="L5" s="4">
        <f t="shared" si="19"/>
        <v>22352</v>
      </c>
      <c r="M5" s="4">
        <f t="shared" si="20"/>
        <v>18626.666666666668</v>
      </c>
      <c r="N5" s="4">
        <f t="shared" si="21"/>
        <v>15965.714285714286</v>
      </c>
      <c r="O5" s="4">
        <f t="shared" si="22"/>
        <v>13970</v>
      </c>
      <c r="P5" s="4">
        <f t="shared" si="23"/>
        <v>12417.777777777777</v>
      </c>
      <c r="Q5" s="4">
        <f t="shared" si="24"/>
        <v>11176</v>
      </c>
      <c r="R5" s="4">
        <f t="shared" si="25"/>
        <v>10160</v>
      </c>
      <c r="S5" s="4">
        <f t="shared" si="26"/>
        <v>9313.3333333333339</v>
      </c>
      <c r="T5" s="4">
        <f t="shared" si="27"/>
        <v>8596.9230769230762</v>
      </c>
      <c r="U5" s="4">
        <f t="shared" si="28"/>
        <v>7982.8571428571431</v>
      </c>
      <c r="V5" s="4">
        <f t="shared" si="29"/>
        <v>7450.666666666667</v>
      </c>
      <c r="W5" s="4">
        <f t="shared" si="30"/>
        <v>6985</v>
      </c>
      <c r="X5" s="4">
        <f t="shared" si="31"/>
        <v>6574.1176470588234</v>
      </c>
      <c r="Y5" s="4">
        <f t="shared" si="32"/>
        <v>6208.8888888888887</v>
      </c>
      <c r="Z5" s="4">
        <f t="shared" si="33"/>
        <v>5882.105263157895</v>
      </c>
      <c r="AA5" s="4">
        <f t="shared" si="34"/>
        <v>5588</v>
      </c>
      <c r="AB5" s="4">
        <f t="shared" si="35"/>
        <v>5321.9047619047615</v>
      </c>
      <c r="AC5" s="10">
        <f t="shared" si="36"/>
        <v>5</v>
      </c>
      <c r="AD5" s="4">
        <f>+PARTIDO_LIBERAL_COLOMBIANO-(AC5*CIFRA_REPARTIDORA)</f>
        <v>1456</v>
      </c>
      <c r="AE5" s="9">
        <f>+PARTIDO_LIBERAL_COLOMBIANO-UMBRAL</f>
        <v>96770.023809523816</v>
      </c>
      <c r="AF5" s="8">
        <f>+PARTIDO_LIBERAL_COLOMBIANO/TOTAL_VOTOS_VÁLIDOS</f>
        <v>0.17751545080124972</v>
      </c>
    </row>
    <row r="6" spans="1:32" ht="18.75" x14ac:dyDescent="0.3">
      <c r="A6" s="4">
        <v>5</v>
      </c>
      <c r="B6" s="4" t="s">
        <v>291</v>
      </c>
      <c r="C6" s="4" t="s">
        <v>5</v>
      </c>
      <c r="D6" s="29">
        <v>2277</v>
      </c>
      <c r="E6" s="4">
        <f>+PARTIDO_UNION_PATRIOTICA_UP/CIFRA_REPARTIDORA</f>
        <v>0.10321475195822455</v>
      </c>
      <c r="F6" s="4" t="str">
        <f>IF(PARTIDO_UNION_PATRIOTICA_UP&gt;=UMBRAL,"PASA","NO PASA")</f>
        <v>NO PASA</v>
      </c>
      <c r="G6" s="4">
        <f>IF(PARTIDO_UNION_PATRIOTICA_UP&gt;=UMBRAL,PARTIDO_UNION_PATRIOTICA_UP,0)</f>
        <v>0</v>
      </c>
      <c r="H6" s="4">
        <f t="shared" si="15"/>
        <v>0</v>
      </c>
      <c r="I6" s="4">
        <f t="shared" si="16"/>
        <v>0</v>
      </c>
      <c r="J6" s="4">
        <f t="shared" si="17"/>
        <v>0</v>
      </c>
      <c r="K6" s="4">
        <f t="shared" si="18"/>
        <v>0</v>
      </c>
      <c r="L6" s="4">
        <f t="shared" si="19"/>
        <v>0</v>
      </c>
      <c r="M6" s="4">
        <f t="shared" si="20"/>
        <v>0</v>
      </c>
      <c r="N6" s="4">
        <f t="shared" si="21"/>
        <v>0</v>
      </c>
      <c r="O6" s="4">
        <f t="shared" si="22"/>
        <v>0</v>
      </c>
      <c r="P6" s="4">
        <f t="shared" si="23"/>
        <v>0</v>
      </c>
      <c r="Q6" s="4">
        <f t="shared" si="24"/>
        <v>0</v>
      </c>
      <c r="R6" s="4">
        <f t="shared" si="25"/>
        <v>0</v>
      </c>
      <c r="S6" s="4">
        <f t="shared" si="26"/>
        <v>0</v>
      </c>
      <c r="T6" s="4">
        <f t="shared" si="27"/>
        <v>0</v>
      </c>
      <c r="U6" s="4">
        <f t="shared" si="28"/>
        <v>0</v>
      </c>
      <c r="V6" s="4">
        <f t="shared" si="29"/>
        <v>0</v>
      </c>
      <c r="W6" s="4">
        <f t="shared" si="30"/>
        <v>0</v>
      </c>
      <c r="X6" s="4">
        <f t="shared" si="31"/>
        <v>0</v>
      </c>
      <c r="Y6" s="4">
        <f t="shared" si="32"/>
        <v>0</v>
      </c>
      <c r="Z6" s="4">
        <f t="shared" si="33"/>
        <v>0</v>
      </c>
      <c r="AA6" s="4">
        <f t="shared" si="34"/>
        <v>0</v>
      </c>
      <c r="AB6" s="4">
        <f t="shared" si="35"/>
        <v>0</v>
      </c>
      <c r="AC6" s="10">
        <f t="shared" si="36"/>
        <v>0</v>
      </c>
      <c r="AD6" s="4">
        <f>+PARTIDO_UNION_PATRIOTICA_UP-(AC6*CIFRA_REPARTIDORA)</f>
        <v>2277</v>
      </c>
      <c r="AE6" s="9">
        <f>+PARTIDO_UNION_PATRIOTICA_UP-UMBRAL</f>
        <v>-12712.976190476191</v>
      </c>
      <c r="AF6" s="8">
        <f>+PARTIDO_UNION_PATRIOTICA_UP/TOTAL_VOTOS_VÁLIDOS</f>
        <v>3.6167025901435723E-3</v>
      </c>
    </row>
    <row r="7" spans="1:32" ht="18.75" x14ac:dyDescent="0.3">
      <c r="A7" s="4">
        <v>6</v>
      </c>
      <c r="B7" s="4" t="s">
        <v>292</v>
      </c>
      <c r="C7" s="4" t="s">
        <v>6</v>
      </c>
      <c r="D7" s="29">
        <v>93790</v>
      </c>
      <c r="E7" s="4">
        <f>+PARTIDO_CAMBIO_RADICAL/CIFRA_REPARTIDORA</f>
        <v>4.2514324049898464</v>
      </c>
      <c r="F7" s="4" t="str">
        <f>IF(PARTIDO_CAMBIO_RADICAL&gt;=UMBRAL,"PASA","NO PASA")</f>
        <v>PASA</v>
      </c>
      <c r="G7" s="4">
        <f>IF(PARTIDO_CAMBIO_RADICAL&gt;=UMBRAL,PARTIDO_CAMBIO_RADICAL,0)</f>
        <v>93790</v>
      </c>
      <c r="H7" s="4">
        <f t="shared" si="15"/>
        <v>93790</v>
      </c>
      <c r="I7" s="4">
        <f t="shared" si="16"/>
        <v>46895</v>
      </c>
      <c r="J7" s="4">
        <f t="shared" si="17"/>
        <v>31263.333333333332</v>
      </c>
      <c r="K7" s="4">
        <f t="shared" si="18"/>
        <v>23447.5</v>
      </c>
      <c r="L7" s="4">
        <f t="shared" si="19"/>
        <v>18758</v>
      </c>
      <c r="M7" s="4">
        <f t="shared" si="20"/>
        <v>15631.666666666666</v>
      </c>
      <c r="N7" s="4">
        <f t="shared" si="21"/>
        <v>13398.571428571429</v>
      </c>
      <c r="O7" s="4">
        <f t="shared" si="22"/>
        <v>11723.75</v>
      </c>
      <c r="P7" s="4">
        <f t="shared" si="23"/>
        <v>10421.111111111111</v>
      </c>
      <c r="Q7" s="4">
        <f t="shared" si="24"/>
        <v>9379</v>
      </c>
      <c r="R7" s="4">
        <f t="shared" si="25"/>
        <v>8526.363636363636</v>
      </c>
      <c r="S7" s="4">
        <f t="shared" si="26"/>
        <v>7815.833333333333</v>
      </c>
      <c r="T7" s="4">
        <f t="shared" si="27"/>
        <v>7214.6153846153848</v>
      </c>
      <c r="U7" s="4">
        <f t="shared" si="28"/>
        <v>6699.2857142857147</v>
      </c>
      <c r="V7" s="4">
        <f t="shared" si="29"/>
        <v>6252.666666666667</v>
      </c>
      <c r="W7" s="4">
        <f t="shared" si="30"/>
        <v>5861.875</v>
      </c>
      <c r="X7" s="4">
        <f t="shared" si="31"/>
        <v>5517.0588235294117</v>
      </c>
      <c r="Y7" s="4">
        <f t="shared" si="32"/>
        <v>5210.5555555555557</v>
      </c>
      <c r="Z7" s="4">
        <f t="shared" si="33"/>
        <v>4936.3157894736842</v>
      </c>
      <c r="AA7" s="4">
        <f t="shared" si="34"/>
        <v>4689.5</v>
      </c>
      <c r="AB7" s="4">
        <f t="shared" si="35"/>
        <v>4466.1904761904761</v>
      </c>
      <c r="AC7" s="10">
        <f t="shared" si="36"/>
        <v>4</v>
      </c>
      <c r="AD7" s="4">
        <f>+PARTIDO_CAMBIO_RADICAL-(AC7*CIFRA_REPARTIDORA)</f>
        <v>5546.8000000000029</v>
      </c>
      <c r="AE7" s="9">
        <f>+PARTIDO_CAMBIO_RADICAL-UMBRAL</f>
        <v>78800.023809523816</v>
      </c>
      <c r="AF7" s="8">
        <f>+PARTIDO_CAMBIO_RADICAL/TOTAL_VOTOS_VÁLIDOS</f>
        <v>0.14897256738233008</v>
      </c>
    </row>
    <row r="8" spans="1:32" ht="18.75" x14ac:dyDescent="0.3">
      <c r="A8" s="4">
        <v>7</v>
      </c>
      <c r="B8" s="4" t="s">
        <v>293</v>
      </c>
      <c r="C8" s="4" t="s">
        <v>7</v>
      </c>
      <c r="D8" s="29">
        <v>33823</v>
      </c>
      <c r="E8" s="4">
        <f>+PARTIDO_CENTRO_DEMOCRATICO/CIFRA_REPARTIDORA</f>
        <v>1.5331719611256165</v>
      </c>
      <c r="F8" s="4" t="str">
        <f>IF(PARTIDO_CENTRO_DEMOCRATICO&gt;=UMBRAL,"PASA","NO PASA")</f>
        <v>PASA</v>
      </c>
      <c r="G8" s="4">
        <f>IF(PARTIDO_CENTRO_DEMOCRATICO&gt;=UMBRAL,PARTIDO_CENTRO_DEMOCRATICO,0)</f>
        <v>33823</v>
      </c>
      <c r="H8" s="4">
        <f t="shared" si="15"/>
        <v>33823</v>
      </c>
      <c r="I8" s="4">
        <f t="shared" si="16"/>
        <v>16911.5</v>
      </c>
      <c r="J8" s="4">
        <f t="shared" si="17"/>
        <v>11274.333333333334</v>
      </c>
      <c r="K8" s="4">
        <f t="shared" si="18"/>
        <v>8455.75</v>
      </c>
      <c r="L8" s="4">
        <f t="shared" si="19"/>
        <v>6764.6</v>
      </c>
      <c r="M8" s="4">
        <f t="shared" si="20"/>
        <v>5637.166666666667</v>
      </c>
      <c r="N8" s="4">
        <f t="shared" si="21"/>
        <v>4831.8571428571431</v>
      </c>
      <c r="O8" s="4">
        <f t="shared" si="22"/>
        <v>4227.875</v>
      </c>
      <c r="P8" s="4">
        <f t="shared" si="23"/>
        <v>3758.1111111111113</v>
      </c>
      <c r="Q8" s="4">
        <f t="shared" si="24"/>
        <v>3382.3</v>
      </c>
      <c r="R8" s="4">
        <f t="shared" si="25"/>
        <v>3074.818181818182</v>
      </c>
      <c r="S8" s="4">
        <f t="shared" si="26"/>
        <v>2818.5833333333335</v>
      </c>
      <c r="T8" s="4">
        <f t="shared" si="27"/>
        <v>2601.7692307692309</v>
      </c>
      <c r="U8" s="4">
        <f t="shared" si="28"/>
        <v>2415.9285714285716</v>
      </c>
      <c r="V8" s="4">
        <f t="shared" si="29"/>
        <v>2254.8666666666668</v>
      </c>
      <c r="W8" s="4">
        <f t="shared" si="30"/>
        <v>2113.9375</v>
      </c>
      <c r="X8" s="4">
        <f t="shared" si="31"/>
        <v>1989.5882352941176</v>
      </c>
      <c r="Y8" s="4">
        <f t="shared" si="32"/>
        <v>1879.0555555555557</v>
      </c>
      <c r="Z8" s="4">
        <f t="shared" si="33"/>
        <v>1780.1578947368421</v>
      </c>
      <c r="AA8" s="4">
        <f t="shared" si="34"/>
        <v>1691.15</v>
      </c>
      <c r="AB8" s="4">
        <f>+G8/21</f>
        <v>1610.6190476190477</v>
      </c>
      <c r="AC8" s="10">
        <f t="shared" si="36"/>
        <v>1</v>
      </c>
      <c r="AD8" s="4">
        <f>+PARTIDO_CENTRO_DEMOCRATICO-(AC8*CIFRA_REPARTIDORA)</f>
        <v>11762.2</v>
      </c>
      <c r="AE8" s="9">
        <f>+PARTIDO_CENTRO_DEMOCRATICO-UMBRAL</f>
        <v>18833.023809523809</v>
      </c>
      <c r="AF8" s="8">
        <f>+PARTIDO_CENTRO_DEMOCRATICO/TOTAL_VOTOS_VÁLIDOS</f>
        <v>5.3723202330446217E-2</v>
      </c>
    </row>
    <row r="9" spans="1:32" ht="18.75" x14ac:dyDescent="0.3">
      <c r="A9" s="4">
        <v>8</v>
      </c>
      <c r="B9" s="4" t="s">
        <v>294</v>
      </c>
      <c r="C9" s="4" t="s">
        <v>8</v>
      </c>
      <c r="D9" s="29">
        <v>10110</v>
      </c>
      <c r="E9" s="4">
        <f>+PARTIDO_ALIANZA_SOCIAL_INDEPENDIENTE_ASI/CIFRA_REPARTIDORA</f>
        <v>0.45827893820713667</v>
      </c>
      <c r="F9" s="4" t="str">
        <f>IF(PARTIDO_ALIANZA_SOCIAL_INDEPENDIENTE_ASI&gt;=CIFRA_REPARTIDORA,"PASA","NO PASA")</f>
        <v>NO PASA</v>
      </c>
      <c r="G9" s="4">
        <f>IF(PARTIDO_ALIANZA_SOCIAL_INDEPENDIENTE_ASI&gt;=UMBRAL,PARTIDO_ALIANZA_SOCIAL_INDEPENDIENTE_ASI,0)</f>
        <v>0</v>
      </c>
      <c r="H9" s="4">
        <f t="shared" si="15"/>
        <v>0</v>
      </c>
      <c r="I9" s="4">
        <f t="shared" si="16"/>
        <v>0</v>
      </c>
      <c r="J9" s="4">
        <f t="shared" si="17"/>
        <v>0</v>
      </c>
      <c r="K9" s="4">
        <f t="shared" si="18"/>
        <v>0</v>
      </c>
      <c r="L9" s="4">
        <f t="shared" si="19"/>
        <v>0</v>
      </c>
      <c r="M9" s="4">
        <f t="shared" si="20"/>
        <v>0</v>
      </c>
      <c r="N9" s="4">
        <f t="shared" si="21"/>
        <v>0</v>
      </c>
      <c r="O9" s="4">
        <f t="shared" si="22"/>
        <v>0</v>
      </c>
      <c r="P9" s="4">
        <f t="shared" si="23"/>
        <v>0</v>
      </c>
      <c r="Q9" s="4">
        <f t="shared" si="24"/>
        <v>0</v>
      </c>
      <c r="R9" s="4">
        <f t="shared" si="25"/>
        <v>0</v>
      </c>
      <c r="S9" s="4">
        <f t="shared" si="26"/>
        <v>0</v>
      </c>
      <c r="T9" s="4">
        <f t="shared" si="27"/>
        <v>0</v>
      </c>
      <c r="U9" s="4">
        <f t="shared" si="28"/>
        <v>0</v>
      </c>
      <c r="V9" s="4">
        <f t="shared" si="29"/>
        <v>0</v>
      </c>
      <c r="W9" s="4">
        <f t="shared" si="30"/>
        <v>0</v>
      </c>
      <c r="X9" s="4">
        <f t="shared" si="31"/>
        <v>0</v>
      </c>
      <c r="Y9" s="4">
        <f t="shared" si="32"/>
        <v>0</v>
      </c>
      <c r="Z9" s="4">
        <f t="shared" si="33"/>
        <v>0</v>
      </c>
      <c r="AA9" s="4">
        <f t="shared" si="34"/>
        <v>0</v>
      </c>
      <c r="AB9" s="4">
        <f t="shared" si="35"/>
        <v>0</v>
      </c>
      <c r="AC9" s="10">
        <f t="shared" si="36"/>
        <v>0</v>
      </c>
      <c r="AD9" s="4">
        <f>+PARTIDO_ALIANZA_SOCIAL_INDEPENDIENTE_ASI-(AC9*CIFRA_REPARTIDORA)</f>
        <v>10110</v>
      </c>
      <c r="AE9" s="9">
        <f>+PARTIDO_ALIANZA_SOCIAL_INDEPENDIENTE_ASI-UMBRAL</f>
        <v>-4879.9761904761908</v>
      </c>
      <c r="AF9" s="8">
        <f>+PARTIDO_ALIANZA_SOCIAL_INDEPENDIENTE_ASI/TOTAL_VOTOS_VÁLIDOS</f>
        <v>1.6058350103799524E-2</v>
      </c>
    </row>
    <row r="10" spans="1:32" ht="18.75" x14ac:dyDescent="0.3">
      <c r="A10" s="4">
        <v>9</v>
      </c>
      <c r="B10" s="4" t="s">
        <v>295</v>
      </c>
      <c r="C10" s="4" t="s">
        <v>9</v>
      </c>
      <c r="D10" s="29">
        <v>43504</v>
      </c>
      <c r="E10" s="4">
        <f>+PARTIDO_ALIANZA_VERDE/CIFRA_REPARTIDORA</f>
        <v>1.9720046417174355</v>
      </c>
      <c r="F10" s="4" t="str">
        <f>IF(PARTIDO_ALIANZA_VERDE&gt;=UMBRAL,"PASA","NO PASA")</f>
        <v>PASA</v>
      </c>
      <c r="G10" s="4">
        <f>IF(PARTIDO_ALIANZA_VERDE&gt;=UMBRAL,PARTIDO_ALIANZA_VERDE,0)</f>
        <v>43504</v>
      </c>
      <c r="H10" s="4">
        <f t="shared" si="15"/>
        <v>43504</v>
      </c>
      <c r="I10" s="4">
        <f t="shared" si="16"/>
        <v>21752</v>
      </c>
      <c r="J10" s="4">
        <f t="shared" si="17"/>
        <v>14501.333333333334</v>
      </c>
      <c r="K10" s="4">
        <f t="shared" si="18"/>
        <v>10876</v>
      </c>
      <c r="L10" s="4">
        <f t="shared" si="19"/>
        <v>8700.7999999999993</v>
      </c>
      <c r="M10" s="4">
        <f t="shared" si="20"/>
        <v>7250.666666666667</v>
      </c>
      <c r="N10" s="4">
        <f t="shared" si="21"/>
        <v>6214.8571428571431</v>
      </c>
      <c r="O10" s="4">
        <f t="shared" si="22"/>
        <v>5438</v>
      </c>
      <c r="P10" s="4">
        <f t="shared" si="23"/>
        <v>4833.7777777777774</v>
      </c>
      <c r="Q10" s="4">
        <f t="shared" si="24"/>
        <v>4350.3999999999996</v>
      </c>
      <c r="R10" s="4">
        <f t="shared" si="25"/>
        <v>3954.909090909091</v>
      </c>
      <c r="S10" s="4">
        <f t="shared" si="26"/>
        <v>3625.3333333333335</v>
      </c>
      <c r="T10" s="4">
        <f t="shared" si="27"/>
        <v>3346.4615384615386</v>
      </c>
      <c r="U10" s="4">
        <f t="shared" si="28"/>
        <v>3107.4285714285716</v>
      </c>
      <c r="V10" s="4">
        <f t="shared" si="29"/>
        <v>2900.2666666666669</v>
      </c>
      <c r="W10" s="4">
        <f t="shared" si="30"/>
        <v>2719</v>
      </c>
      <c r="X10" s="4">
        <f t="shared" si="31"/>
        <v>2559.0588235294117</v>
      </c>
      <c r="Y10" s="4">
        <f t="shared" si="32"/>
        <v>2416.8888888888887</v>
      </c>
      <c r="Z10" s="4">
        <f t="shared" si="33"/>
        <v>2289.6842105263158</v>
      </c>
      <c r="AA10" s="4">
        <f t="shared" si="34"/>
        <v>2175.1999999999998</v>
      </c>
      <c r="AB10" s="4">
        <f t="shared" si="35"/>
        <v>2071.6190476190477</v>
      </c>
      <c r="AC10" s="10">
        <f t="shared" si="36"/>
        <v>1</v>
      </c>
      <c r="AD10" s="4">
        <f>+PARTIDO_ALIANZA_VERDE-(AC10*CIFRA_REPARTIDORA)</f>
        <v>21443.200000000001</v>
      </c>
      <c r="AE10" s="9">
        <f>+PARTIDO_ALIANZA_VERDE-UMBRAL</f>
        <v>28514.023809523809</v>
      </c>
      <c r="AF10" s="8">
        <f>+PARTIDO_ALIANZA_VERDE/TOTAL_VOTOS_VÁLIDOS</f>
        <v>6.9100144699870872E-2</v>
      </c>
    </row>
    <row r="11" spans="1:32" ht="18.75" x14ac:dyDescent="0.3">
      <c r="A11" s="4">
        <v>10</v>
      </c>
      <c r="B11" s="4" t="s">
        <v>296</v>
      </c>
      <c r="C11" s="4" t="s">
        <v>10</v>
      </c>
      <c r="D11" s="29">
        <v>22110</v>
      </c>
      <c r="E11" s="4">
        <f>+PARTIDO_POLO_DEMOCRATICO_ALTERNATIVO/CIFRA_REPARTIDORA</f>
        <v>1.0022302001740644</v>
      </c>
      <c r="F11" s="4" t="str">
        <f>IF(PARTIDO_POLO_DEMOCRATICO_ALTERNATIVO&gt;=UMBRAL,"PASA","NO PASA")</f>
        <v>PASA</v>
      </c>
      <c r="G11" s="4">
        <f>IF(PARTIDO_POLO_DEMOCRATICO_ALTERNATIVO&gt;=UMBRAL,PARTIDO_POLO_DEMOCRATICO_ALTERNATIVO,0)</f>
        <v>22110</v>
      </c>
      <c r="H11" s="4">
        <f t="shared" si="15"/>
        <v>22110</v>
      </c>
      <c r="I11" s="4">
        <f t="shared" si="16"/>
        <v>11055</v>
      </c>
      <c r="J11" s="4">
        <f t="shared" si="17"/>
        <v>7370</v>
      </c>
      <c r="K11" s="4">
        <f t="shared" si="18"/>
        <v>5527.5</v>
      </c>
      <c r="L11" s="4">
        <f t="shared" si="19"/>
        <v>4422</v>
      </c>
      <c r="M11" s="4">
        <f t="shared" si="20"/>
        <v>3685</v>
      </c>
      <c r="N11" s="4">
        <f t="shared" si="21"/>
        <v>3158.5714285714284</v>
      </c>
      <c r="O11" s="4">
        <f t="shared" si="22"/>
        <v>2763.75</v>
      </c>
      <c r="P11" s="4">
        <f t="shared" si="23"/>
        <v>2456.6666666666665</v>
      </c>
      <c r="Q11" s="4">
        <f t="shared" si="24"/>
        <v>2211</v>
      </c>
      <c r="R11" s="4">
        <f t="shared" si="25"/>
        <v>2010</v>
      </c>
      <c r="S11" s="4">
        <f t="shared" si="26"/>
        <v>1842.5</v>
      </c>
      <c r="T11" s="4">
        <f t="shared" si="27"/>
        <v>1700.7692307692307</v>
      </c>
      <c r="U11" s="4">
        <f t="shared" si="28"/>
        <v>1579.2857142857142</v>
      </c>
      <c r="V11" s="4">
        <f t="shared" si="29"/>
        <v>1474</v>
      </c>
      <c r="W11" s="4">
        <f t="shared" si="30"/>
        <v>1381.875</v>
      </c>
      <c r="X11" s="4">
        <f t="shared" si="31"/>
        <v>1300.5882352941176</v>
      </c>
      <c r="Y11" s="4">
        <f t="shared" si="32"/>
        <v>1228.3333333333333</v>
      </c>
      <c r="Z11" s="4">
        <f t="shared" si="33"/>
        <v>1163.6842105263158</v>
      </c>
      <c r="AA11" s="4">
        <f t="shared" si="34"/>
        <v>1105.5</v>
      </c>
      <c r="AB11" s="4">
        <f t="shared" si="35"/>
        <v>1052.8571428571429</v>
      </c>
      <c r="AC11" s="10">
        <f t="shared" si="36"/>
        <v>1</v>
      </c>
      <c r="AD11" s="4">
        <f>+PARTIDO_POLO_DEMOCRATICO_ALTERNATIVO-(AC11*CIFRA_REPARTIDORA)</f>
        <v>49.200000000000728</v>
      </c>
      <c r="AE11" s="9">
        <f>+PARTIDO_POLO_DEMOCRATICO_ALTERNATIVO-UMBRAL</f>
        <v>7120.0238095238092</v>
      </c>
      <c r="AF11" s="8">
        <f>+PARTIDO_POLO_DEMOCRATICO_ALTERNATIVO/TOTAL_VOTOS_VÁLIDOS</f>
        <v>3.5118706310089759E-2</v>
      </c>
    </row>
    <row r="12" spans="1:32" ht="18.75" x14ac:dyDescent="0.3">
      <c r="A12" s="4">
        <v>11</v>
      </c>
      <c r="B12" s="4" t="s">
        <v>297</v>
      </c>
      <c r="C12" s="4" t="s">
        <v>11</v>
      </c>
      <c r="D12" s="29">
        <v>5924</v>
      </c>
      <c r="E12" s="4">
        <f>+PARTIDO_OPCION_CIUDADANA/CIFRA_REPARTIDORA</f>
        <v>0.26853060632434</v>
      </c>
      <c r="F12" s="4" t="str">
        <f>IF(PARTIDO_OPCION_CIUDADANA&gt;=UMBRAL,"PASA","NO PASA")</f>
        <v>NO PASA</v>
      </c>
      <c r="G12" s="4">
        <f>IF(PARTIDO_OPCION_CIUDADANA&gt;=UMBRAL,PARTIDO_OPCION_CIUDADANA,0)</f>
        <v>0</v>
      </c>
      <c r="H12" s="4">
        <f t="shared" si="15"/>
        <v>0</v>
      </c>
      <c r="I12" s="4">
        <f t="shared" si="16"/>
        <v>0</v>
      </c>
      <c r="J12" s="4">
        <f t="shared" si="17"/>
        <v>0</v>
      </c>
      <c r="K12" s="4">
        <f t="shared" si="18"/>
        <v>0</v>
      </c>
      <c r="L12" s="4">
        <f t="shared" si="19"/>
        <v>0</v>
      </c>
      <c r="M12" s="4">
        <f t="shared" si="20"/>
        <v>0</v>
      </c>
      <c r="N12" s="4">
        <f t="shared" si="21"/>
        <v>0</v>
      </c>
      <c r="O12" s="4">
        <f t="shared" si="22"/>
        <v>0</v>
      </c>
      <c r="P12" s="4">
        <f t="shared" si="23"/>
        <v>0</v>
      </c>
      <c r="Q12" s="4">
        <f t="shared" si="24"/>
        <v>0</v>
      </c>
      <c r="R12" s="4">
        <f t="shared" si="25"/>
        <v>0</v>
      </c>
      <c r="S12" s="4">
        <f t="shared" si="26"/>
        <v>0</v>
      </c>
      <c r="T12" s="4">
        <f t="shared" si="27"/>
        <v>0</v>
      </c>
      <c r="U12" s="4">
        <f t="shared" si="28"/>
        <v>0</v>
      </c>
      <c r="V12" s="4">
        <f t="shared" si="29"/>
        <v>0</v>
      </c>
      <c r="W12" s="4">
        <f t="shared" si="30"/>
        <v>0</v>
      </c>
      <c r="X12" s="4">
        <f t="shared" si="31"/>
        <v>0</v>
      </c>
      <c r="Y12" s="4">
        <f t="shared" si="32"/>
        <v>0</v>
      </c>
      <c r="Z12" s="4">
        <f t="shared" si="33"/>
        <v>0</v>
      </c>
      <c r="AA12" s="4">
        <f t="shared" si="34"/>
        <v>0</v>
      </c>
      <c r="AB12" s="4">
        <f t="shared" si="35"/>
        <v>0</v>
      </c>
      <c r="AC12" s="10">
        <f t="shared" si="36"/>
        <v>0</v>
      </c>
      <c r="AD12" s="4">
        <f>+PARTIDO_OPCION_CIUDADANA-(AC12*CIFRA_REPARTIDORA)</f>
        <v>5924</v>
      </c>
      <c r="AE12" s="9">
        <f>+MOVIMIENTO_ALTERNATIVO_INDIGENA_Y_SOCIAL_MAIS-UMBRAL</f>
        <v>-11394.976190476191</v>
      </c>
      <c r="AF12" s="8">
        <f>+PARTIDO_OPCION_CIUDADANA/TOTAL_VOTOS_VÁLIDOS</f>
        <v>9.4094625138386127E-3</v>
      </c>
    </row>
    <row r="13" spans="1:32" ht="18.75" x14ac:dyDescent="0.3">
      <c r="A13" s="4">
        <v>12</v>
      </c>
      <c r="B13" s="4" t="s">
        <v>298</v>
      </c>
      <c r="C13" s="4" t="s">
        <v>12</v>
      </c>
      <c r="D13" s="29">
        <v>3595</v>
      </c>
      <c r="E13" s="4">
        <f>+MOVIMIENTO_ALTERNATIVO_INDIGENA_Y_SOCIAL_MAIS/CIFRA_REPARTIDORA</f>
        <v>0.16295873223092544</v>
      </c>
      <c r="F13" s="4" t="str">
        <f>IF(MOVIMIENTO_ALTERNATIVO_INDIGENA_Y_SOCIAL_MAIS&gt;=UMBRAL,"PASA","NO PASA")</f>
        <v>NO PASA</v>
      </c>
      <c r="G13" s="4">
        <f>IF(MOVIMIENTO_ALTERNATIVO_INDIGENA_Y_SOCIAL_MAIS&gt;=UMBRAL,MOVIMIENTO_ALTERNATIVO_INDIGENA_Y_SOCIAL_MAIS,0)</f>
        <v>0</v>
      </c>
      <c r="H13" s="4">
        <f t="shared" si="15"/>
        <v>0</v>
      </c>
      <c r="I13" s="4">
        <f t="shared" si="16"/>
        <v>0</v>
      </c>
      <c r="J13" s="4">
        <f t="shared" si="17"/>
        <v>0</v>
      </c>
      <c r="K13" s="4">
        <f t="shared" si="18"/>
        <v>0</v>
      </c>
      <c r="L13" s="4">
        <f t="shared" si="19"/>
        <v>0</v>
      </c>
      <c r="M13" s="4">
        <f t="shared" si="20"/>
        <v>0</v>
      </c>
      <c r="N13" s="4">
        <f t="shared" si="21"/>
        <v>0</v>
      </c>
      <c r="O13" s="4">
        <f t="shared" si="22"/>
        <v>0</v>
      </c>
      <c r="P13" s="4">
        <f t="shared" si="23"/>
        <v>0</v>
      </c>
      <c r="Q13" s="4">
        <f t="shared" si="24"/>
        <v>0</v>
      </c>
      <c r="R13" s="4">
        <f t="shared" si="25"/>
        <v>0</v>
      </c>
      <c r="S13" s="4">
        <f t="shared" si="26"/>
        <v>0</v>
      </c>
      <c r="T13" s="4">
        <f t="shared" si="27"/>
        <v>0</v>
      </c>
      <c r="U13" s="4">
        <f t="shared" si="28"/>
        <v>0</v>
      </c>
      <c r="V13" s="4">
        <f t="shared" si="29"/>
        <v>0</v>
      </c>
      <c r="W13" s="4">
        <f t="shared" si="30"/>
        <v>0</v>
      </c>
      <c r="X13" s="4">
        <f t="shared" si="31"/>
        <v>0</v>
      </c>
      <c r="Y13" s="4">
        <f t="shared" si="32"/>
        <v>0</v>
      </c>
      <c r="Z13" s="4">
        <f t="shared" si="33"/>
        <v>0</v>
      </c>
      <c r="AA13" s="4">
        <f t="shared" si="34"/>
        <v>0</v>
      </c>
      <c r="AB13" s="4">
        <f t="shared" si="35"/>
        <v>0</v>
      </c>
      <c r="AC13" s="10">
        <f t="shared" si="36"/>
        <v>0</v>
      </c>
      <c r="AD13" s="4">
        <f>+MOVIMIENTO_ALTERNATIVO_INDIGENA_Y_SOCIAL_MAIS-(AC13*CIFRA_REPARTIDORA)</f>
        <v>3595</v>
      </c>
      <c r="AE13" s="9">
        <f>+MOVIMIENTO_ALTERNATIVO_INDIGENA_Y_SOCIAL_MAIS-UMBRAL</f>
        <v>-11394.976190476191</v>
      </c>
      <c r="AF13" s="8">
        <f>+MOVIMIENTO_ALTERNATIVO_INDIGENA_Y_SOCIAL_MAIS/TOTAL_VOTOS_VÁLIDOS</f>
        <v>5.7101650468011165E-3</v>
      </c>
    </row>
    <row r="14" spans="1:32" ht="18.75" x14ac:dyDescent="0.3">
      <c r="A14" s="4"/>
      <c r="B14" s="4" t="s">
        <v>299</v>
      </c>
      <c r="C14" s="4" t="s">
        <v>244</v>
      </c>
      <c r="D14" s="29">
        <v>85556</v>
      </c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11">
        <f>SUM(AC2:AC13)</f>
        <v>21</v>
      </c>
      <c r="AD14" s="4"/>
      <c r="AE14" s="4"/>
      <c r="AF14" s="8">
        <f>+VOTOS_EN_BLANCO/TOTAL_VOTOS_VÁLIDOS</f>
        <v>0.13589398629878061</v>
      </c>
    </row>
    <row r="15" spans="1:32" x14ac:dyDescent="0.25">
      <c r="A15" s="4"/>
      <c r="B15" s="4" t="s">
        <v>300</v>
      </c>
      <c r="C15" s="4" t="s">
        <v>245</v>
      </c>
      <c r="D15" s="30">
        <f>SUM(D2:D14)</f>
        <v>629579</v>
      </c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8">
        <f>SUBTOTAL(109,AF2:AF14)</f>
        <v>1</v>
      </c>
    </row>
    <row r="16" spans="1:32" ht="18.75" x14ac:dyDescent="0.3">
      <c r="A16" s="4"/>
      <c r="B16" s="4" t="s">
        <v>250</v>
      </c>
      <c r="C16" s="4" t="s">
        <v>246</v>
      </c>
      <c r="D16" s="41">
        <v>21</v>
      </c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</row>
    <row r="17" spans="1:32" ht="18.75" x14ac:dyDescent="0.3">
      <c r="A17" s="4"/>
      <c r="B17" s="4" t="s">
        <v>247</v>
      </c>
      <c r="C17" s="4" t="s">
        <v>247</v>
      </c>
      <c r="D17" s="27">
        <f>+D15/(D16*2)</f>
        <v>14989.976190476191</v>
      </c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</row>
    <row r="18" spans="1:32" ht="18.75" x14ac:dyDescent="0.3">
      <c r="A18" s="4"/>
      <c r="B18" s="4" t="s">
        <v>301</v>
      </c>
      <c r="C18" s="4" t="s">
        <v>248</v>
      </c>
      <c r="D18" s="27">
        <f>LARGE(H2:AB13,CURULES_A_PROVEER)</f>
        <v>22060.799999999999</v>
      </c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</row>
  </sheetData>
  <sheetProtection sheet="1" objects="1" selectLockedCells="1" autoFilter="0"/>
  <scenarios current="0" show="0">
    <scenario name="VOTACIÓN2011" locked="1" count="13" user="William Pérez Castañeda" comment="Creado por William Pérez Castañeda el 15/08/2015">
      <inputCells r="D2" val="91311" numFmtId="167"/>
      <inputCells r="D3" val="87301" numFmtId="167"/>
      <inputCells r="D4" val="26702" numFmtId="167"/>
      <inputCells r="D5" val="50737" numFmtId="167"/>
      <inputCells r="D6" val="9008" numFmtId="167"/>
      <inputCells r="D7" val="62610" numFmtId="167"/>
      <inputCells r="D8" val="15600" numFmtId="167"/>
      <inputCells r="D9" val="35061" numFmtId="167"/>
      <inputCells r="D10" val="34107" numFmtId="167"/>
      <inputCells r="D11" val="28378" numFmtId="167"/>
      <inputCells r="D12" val="26869" numFmtId="167"/>
      <inputCells r="D13" val="9500" numFmtId="167"/>
      <inputCells r="D14" val="75414" numFmtId="167"/>
    </scenario>
  </scenario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A1:Q246"/>
  <sheetViews>
    <sheetView topLeftCell="C1" zoomScaleNormal="100" workbookViewId="0">
      <pane ySplit="7" topLeftCell="A77" activePane="bottomLeft" state="frozen"/>
      <selection pane="bottomLeft" activeCell="G37" sqref="G37"/>
    </sheetView>
  </sheetViews>
  <sheetFormatPr baseColWidth="10" defaultRowHeight="15" x14ac:dyDescent="0.25"/>
  <cols>
    <col min="1" max="1" width="16.140625" style="12" hidden="1" customWidth="1"/>
    <col min="2" max="2" width="9.85546875" style="12" hidden="1" customWidth="1"/>
    <col min="3" max="3" width="52.5703125" style="12" bestFit="1" customWidth="1"/>
    <col min="4" max="4" width="14.42578125" style="19" hidden="1" customWidth="1"/>
    <col min="5" max="5" width="52.5703125" style="19" bestFit="1" customWidth="1"/>
    <col min="6" max="6" width="11.7109375" style="19" bestFit="1" customWidth="1"/>
    <col min="7" max="7" width="19.42578125" style="19" bestFit="1" customWidth="1"/>
    <col min="8" max="8" width="8.5703125" style="19" bestFit="1" customWidth="1"/>
    <col min="9" max="9" width="9.140625" style="19" bestFit="1" customWidth="1"/>
    <col min="10" max="10" width="7.85546875" style="19" hidden="1" customWidth="1"/>
    <col min="11" max="11" width="11.7109375" style="19" bestFit="1" customWidth="1"/>
    <col min="15" max="15" width="0" hidden="1" customWidth="1"/>
    <col min="17" max="17" width="0" hidden="1" customWidth="1"/>
  </cols>
  <sheetData>
    <row r="1" spans="1:17" ht="39" x14ac:dyDescent="0.3">
      <c r="C1" s="32" t="s">
        <v>14</v>
      </c>
      <c r="D1" s="33"/>
      <c r="E1" s="34" t="s">
        <v>16</v>
      </c>
      <c r="F1" s="32" t="s">
        <v>280</v>
      </c>
      <c r="G1" s="32" t="s">
        <v>284</v>
      </c>
      <c r="H1" s="32" t="s">
        <v>250</v>
      </c>
      <c r="I1" s="32" t="s">
        <v>283</v>
      </c>
      <c r="J1" s="21"/>
      <c r="K1" s="21"/>
      <c r="L1" s="21"/>
      <c r="Q1" s="19" t="s">
        <v>280</v>
      </c>
    </row>
    <row r="2" spans="1:17" ht="16.5" thickBot="1" x14ac:dyDescent="0.3">
      <c r="C2" s="35"/>
      <c r="D2" s="36"/>
      <c r="E2" s="37"/>
      <c r="F2" s="31"/>
      <c r="G2" s="37"/>
      <c r="H2" s="37"/>
      <c r="I2" s="38"/>
      <c r="J2" s="21"/>
      <c r="K2" s="39"/>
      <c r="L2" s="39"/>
      <c r="Q2" s="19" t="s">
        <v>282</v>
      </c>
    </row>
    <row r="3" spans="1:17" ht="15.75" thickTop="1" x14ac:dyDescent="0.25">
      <c r="C3" s="40"/>
      <c r="D3" s="21"/>
      <c r="E3" s="21"/>
      <c r="F3" s="21"/>
      <c r="G3" s="21"/>
      <c r="H3" s="21"/>
      <c r="I3" s="21"/>
      <c r="J3" s="21"/>
      <c r="K3" s="39"/>
      <c r="L3" s="39"/>
      <c r="O3" s="19" t="s">
        <v>302</v>
      </c>
    </row>
    <row r="4" spans="1:17" x14ac:dyDescent="0.25">
      <c r="C4" s="40"/>
      <c r="D4" s="21"/>
      <c r="E4" s="21"/>
      <c r="F4" s="21"/>
      <c r="G4" s="21"/>
      <c r="H4" s="21"/>
      <c r="I4" s="21"/>
      <c r="J4" s="21"/>
      <c r="K4" s="39"/>
      <c r="L4" s="39"/>
      <c r="O4" s="19" t="s">
        <v>303</v>
      </c>
    </row>
    <row r="5" spans="1:17" x14ac:dyDescent="0.25">
      <c r="C5" s="40"/>
      <c r="D5" s="21"/>
      <c r="E5" s="21"/>
      <c r="F5" s="21"/>
      <c r="G5" s="21"/>
      <c r="H5" s="21"/>
      <c r="I5" s="21"/>
      <c r="J5" s="21"/>
      <c r="K5" s="39"/>
      <c r="L5" s="39"/>
      <c r="O5" s="19"/>
    </row>
    <row r="6" spans="1:17" x14ac:dyDescent="0.25">
      <c r="C6" s="40"/>
      <c r="D6" s="21"/>
      <c r="E6" s="21"/>
      <c r="F6" s="21"/>
      <c r="G6" s="21"/>
      <c r="H6" s="21"/>
      <c r="I6" s="21"/>
      <c r="J6" s="21"/>
      <c r="K6" s="39"/>
      <c r="L6" s="39"/>
    </row>
    <row r="7" spans="1:17" x14ac:dyDescent="0.25">
      <c r="A7" s="12" t="s">
        <v>278</v>
      </c>
      <c r="B7" s="12" t="s">
        <v>13</v>
      </c>
      <c r="C7" s="12" t="s">
        <v>14</v>
      </c>
      <c r="D7" s="13" t="s">
        <v>15</v>
      </c>
      <c r="E7" s="13" t="s">
        <v>16</v>
      </c>
      <c r="F7" s="14" t="s">
        <v>280</v>
      </c>
      <c r="G7" s="23" t="s">
        <v>284</v>
      </c>
      <c r="H7" s="14" t="s">
        <v>279</v>
      </c>
      <c r="I7" s="14" t="s">
        <v>250</v>
      </c>
      <c r="J7" s="14" t="s">
        <v>285</v>
      </c>
      <c r="K7" s="14" t="s">
        <v>283</v>
      </c>
      <c r="L7" s="14"/>
    </row>
    <row r="8" spans="1:17" s="1" customFormat="1" ht="18.75" x14ac:dyDescent="0.3">
      <c r="A8" s="12" t="str">
        <f>CONCATENATE(B8,D8)</f>
        <v>10</v>
      </c>
      <c r="B8" s="12">
        <v>1</v>
      </c>
      <c r="C8" s="12" t="s">
        <v>1</v>
      </c>
      <c r="D8" s="15">
        <v>0</v>
      </c>
      <c r="E8" s="16" t="s">
        <v>1</v>
      </c>
      <c r="F8" s="16"/>
      <c r="G8" s="24">
        <f>PARTIDO_CONSERVADOR_COLOMBIANO-SUM(G9:G29)</f>
        <v>-2025</v>
      </c>
      <c r="H8" s="16">
        <f>IF(D8=0,0,Tabla2[[#This Row],[VOTOS CANDIDATOS]])</f>
        <v>0</v>
      </c>
      <c r="I8" s="22">
        <f>CIFCAL!AC2</f>
        <v>3</v>
      </c>
      <c r="J8" s="16">
        <f>LARGE(H8:H28,Tabla2[[#This Row],[CURULES]])</f>
        <v>11800</v>
      </c>
      <c r="K8" s="16"/>
      <c r="L8" s="16"/>
    </row>
    <row r="9" spans="1:17" x14ac:dyDescent="0.25">
      <c r="A9" s="12" t="str">
        <f t="shared" ref="A9:A72" si="0">CONCATENATE(B9,D9)</f>
        <v>11</v>
      </c>
      <c r="B9" s="12">
        <v>1</v>
      </c>
      <c r="C9" s="12" t="s">
        <v>1</v>
      </c>
      <c r="D9" s="17">
        <v>1</v>
      </c>
      <c r="E9" s="18" t="s">
        <v>17</v>
      </c>
      <c r="F9" s="19" t="s">
        <v>281</v>
      </c>
      <c r="G9" s="25">
        <v>15366</v>
      </c>
      <c r="H9" s="16">
        <f>IF(D9=0,0,Tabla2[[#This Row],[VOTOS CANDIDATOS]])</f>
        <v>15366</v>
      </c>
      <c r="J9" s="19">
        <f>J8</f>
        <v>11800</v>
      </c>
      <c r="K9" s="16" t="str">
        <f>IF(Tabla2[[#This Row],[VOTOS]]&gt;=Tabla2[[#This Row],[K&gt;]],"ELEGIDO","NO ELEGIDO")</f>
        <v>ELEGIDO</v>
      </c>
      <c r="L9" s="19"/>
    </row>
    <row r="10" spans="1:17" x14ac:dyDescent="0.25">
      <c r="A10" s="12" t="str">
        <f t="shared" si="0"/>
        <v>12</v>
      </c>
      <c r="B10" s="12">
        <v>1</v>
      </c>
      <c r="C10" s="12" t="s">
        <v>1</v>
      </c>
      <c r="D10" s="17">
        <v>2</v>
      </c>
      <c r="E10" s="18" t="s">
        <v>18</v>
      </c>
      <c r="F10" s="19" t="s">
        <v>281</v>
      </c>
      <c r="G10" s="25">
        <v>11800</v>
      </c>
      <c r="H10" s="16">
        <f>IF(D10=0,0,Tabla2[[#This Row],[VOTOS CANDIDATOS]])</f>
        <v>11800</v>
      </c>
      <c r="J10" s="19">
        <f t="shared" ref="J10:J29" si="1">J9</f>
        <v>11800</v>
      </c>
      <c r="K10" s="16" t="str">
        <f>IF(Tabla2[[#This Row],[VOTOS]]&gt;=Tabla2[[#This Row],[K&gt;]],"ELEGIDO","NO ELEGIDO")</f>
        <v>ELEGIDO</v>
      </c>
      <c r="L10" s="19"/>
    </row>
    <row r="11" spans="1:17" x14ac:dyDescent="0.25">
      <c r="A11" s="12" t="str">
        <f t="shared" si="0"/>
        <v>13</v>
      </c>
      <c r="B11" s="12">
        <v>1</v>
      </c>
      <c r="C11" s="12" t="s">
        <v>1</v>
      </c>
      <c r="D11" s="17">
        <v>3</v>
      </c>
      <c r="E11" s="18" t="s">
        <v>19</v>
      </c>
      <c r="F11" s="19" t="s">
        <v>282</v>
      </c>
      <c r="G11" s="25">
        <v>1055</v>
      </c>
      <c r="H11" s="16">
        <f>IF(D11=0,0,Tabla2[[#This Row],[VOTOS CANDIDATOS]])</f>
        <v>1055</v>
      </c>
      <c r="J11" s="19">
        <f t="shared" si="1"/>
        <v>11800</v>
      </c>
      <c r="K11" s="16" t="str">
        <f>IF(Tabla2[[#This Row],[VOTOS]]&gt;=Tabla2[[#This Row],[K&gt;]],"ELEGIDO","NO ELEGIDO")</f>
        <v>NO ELEGIDO</v>
      </c>
      <c r="L11" s="19"/>
    </row>
    <row r="12" spans="1:17" x14ac:dyDescent="0.25">
      <c r="A12" s="12" t="str">
        <f t="shared" si="0"/>
        <v>14</v>
      </c>
      <c r="B12" s="12">
        <v>1</v>
      </c>
      <c r="C12" s="12" t="s">
        <v>1</v>
      </c>
      <c r="D12" s="17">
        <v>4</v>
      </c>
      <c r="E12" s="18" t="s">
        <v>20</v>
      </c>
      <c r="F12" s="19" t="s">
        <v>281</v>
      </c>
      <c r="G12" s="25">
        <v>3698</v>
      </c>
      <c r="H12" s="16">
        <f>IF(D12=0,0,Tabla2[[#This Row],[VOTOS CANDIDATOS]])</f>
        <v>3698</v>
      </c>
      <c r="J12" s="19">
        <f t="shared" si="1"/>
        <v>11800</v>
      </c>
      <c r="K12" s="16" t="str">
        <f>IF(Tabla2[[#This Row],[VOTOS]]&gt;=Tabla2[[#This Row],[K&gt;]],"ELEGIDO","NO ELEGIDO")</f>
        <v>NO ELEGIDO</v>
      </c>
      <c r="L12" s="19"/>
    </row>
    <row r="13" spans="1:17" x14ac:dyDescent="0.25">
      <c r="A13" s="12" t="str">
        <f t="shared" si="0"/>
        <v>15</v>
      </c>
      <c r="B13" s="12">
        <v>1</v>
      </c>
      <c r="C13" s="12" t="s">
        <v>1</v>
      </c>
      <c r="D13" s="17">
        <v>5</v>
      </c>
      <c r="E13" s="18" t="s">
        <v>21</v>
      </c>
      <c r="F13" s="19" t="s">
        <v>281</v>
      </c>
      <c r="G13" s="25">
        <v>100</v>
      </c>
      <c r="H13" s="16">
        <f>IF(D13=0,0,Tabla2[[#This Row],[VOTOS CANDIDATOS]])</f>
        <v>100</v>
      </c>
      <c r="J13" s="19">
        <f t="shared" si="1"/>
        <v>11800</v>
      </c>
      <c r="K13" s="16" t="str">
        <f>IF(Tabla2[[#This Row],[VOTOS]]&gt;=Tabla2[[#This Row],[K&gt;]],"ELEGIDO","NO ELEGIDO")</f>
        <v>NO ELEGIDO</v>
      </c>
      <c r="L13" s="19"/>
    </row>
    <row r="14" spans="1:17" x14ac:dyDescent="0.25">
      <c r="A14" s="12" t="str">
        <f t="shared" si="0"/>
        <v>16</v>
      </c>
      <c r="B14" s="12">
        <v>1</v>
      </c>
      <c r="C14" s="12" t="s">
        <v>1</v>
      </c>
      <c r="D14" s="17">
        <v>6</v>
      </c>
      <c r="E14" s="18" t="s">
        <v>22</v>
      </c>
      <c r="F14" s="19" t="s">
        <v>281</v>
      </c>
      <c r="G14" s="25">
        <v>1566</v>
      </c>
      <c r="H14" s="16">
        <f>IF(D14=0,0,Tabla2[[#This Row],[VOTOS CANDIDATOS]])</f>
        <v>1566</v>
      </c>
      <c r="J14" s="19">
        <f t="shared" si="1"/>
        <v>11800</v>
      </c>
      <c r="K14" s="16" t="str">
        <f>IF(Tabla2[[#This Row],[VOTOS]]&gt;=Tabla2[[#This Row],[K&gt;]],"ELEGIDO","NO ELEGIDO")</f>
        <v>NO ELEGIDO</v>
      </c>
      <c r="L14" s="19"/>
    </row>
    <row r="15" spans="1:17" x14ac:dyDescent="0.25">
      <c r="A15" s="12" t="str">
        <f t="shared" si="0"/>
        <v>17</v>
      </c>
      <c r="B15" s="12">
        <v>1</v>
      </c>
      <c r="C15" s="12" t="s">
        <v>1</v>
      </c>
      <c r="D15" s="17">
        <v>7</v>
      </c>
      <c r="E15" s="18" t="s">
        <v>23</v>
      </c>
      <c r="F15" s="19" t="s">
        <v>281</v>
      </c>
      <c r="G15" s="25">
        <v>993</v>
      </c>
      <c r="H15" s="16">
        <f>IF(D15=0,0,Tabla2[[#This Row],[VOTOS CANDIDATOS]])</f>
        <v>993</v>
      </c>
      <c r="J15" s="19">
        <f t="shared" si="1"/>
        <v>11800</v>
      </c>
      <c r="K15" s="16" t="str">
        <f>IF(Tabla2[[#This Row],[VOTOS]]&gt;=Tabla2[[#This Row],[K&gt;]],"ELEGIDO","NO ELEGIDO")</f>
        <v>NO ELEGIDO</v>
      </c>
      <c r="L15" s="19"/>
    </row>
    <row r="16" spans="1:17" x14ac:dyDescent="0.25">
      <c r="A16" s="12" t="str">
        <f t="shared" si="0"/>
        <v>18</v>
      </c>
      <c r="B16" s="12">
        <v>1</v>
      </c>
      <c r="C16" s="12" t="s">
        <v>1</v>
      </c>
      <c r="D16" s="17">
        <v>8</v>
      </c>
      <c r="E16" s="18" t="s">
        <v>24</v>
      </c>
      <c r="F16" s="19" t="s">
        <v>281</v>
      </c>
      <c r="G16" s="25">
        <v>1455</v>
      </c>
      <c r="H16" s="16">
        <f>IF(D16=0,0,Tabla2[[#This Row],[VOTOS CANDIDATOS]])</f>
        <v>1455</v>
      </c>
      <c r="J16" s="19">
        <f t="shared" si="1"/>
        <v>11800</v>
      </c>
      <c r="K16" s="16" t="str">
        <f>IF(Tabla2[[#This Row],[VOTOS]]&gt;=Tabla2[[#This Row],[K&gt;]],"ELEGIDO","NO ELEGIDO")</f>
        <v>NO ELEGIDO</v>
      </c>
      <c r="L16" s="19"/>
    </row>
    <row r="17" spans="1:12" x14ac:dyDescent="0.25">
      <c r="A17" s="12" t="str">
        <f t="shared" si="0"/>
        <v>19</v>
      </c>
      <c r="B17" s="12">
        <v>1</v>
      </c>
      <c r="C17" s="12" t="s">
        <v>1</v>
      </c>
      <c r="D17" s="17">
        <v>9</v>
      </c>
      <c r="E17" s="18" t="s">
        <v>25</v>
      </c>
      <c r="F17" s="19" t="s">
        <v>281</v>
      </c>
      <c r="G17" s="25">
        <v>35</v>
      </c>
      <c r="H17" s="16">
        <f>IF(D17=0,0,Tabla2[[#This Row],[VOTOS CANDIDATOS]])</f>
        <v>35</v>
      </c>
      <c r="J17" s="19">
        <f t="shared" si="1"/>
        <v>11800</v>
      </c>
      <c r="K17" s="16" t="str">
        <f>IF(Tabla2[[#This Row],[VOTOS]]&gt;=Tabla2[[#This Row],[K&gt;]],"ELEGIDO","NO ELEGIDO")</f>
        <v>NO ELEGIDO</v>
      </c>
      <c r="L17" s="19"/>
    </row>
    <row r="18" spans="1:12" x14ac:dyDescent="0.25">
      <c r="A18" s="12" t="str">
        <f t="shared" si="0"/>
        <v>110</v>
      </c>
      <c r="B18" s="12">
        <v>1</v>
      </c>
      <c r="C18" s="12" t="s">
        <v>1</v>
      </c>
      <c r="D18" s="17">
        <v>10</v>
      </c>
      <c r="E18" s="18" t="s">
        <v>26</v>
      </c>
      <c r="F18" s="19" t="s">
        <v>281</v>
      </c>
      <c r="G18" s="25">
        <v>1956</v>
      </c>
      <c r="H18" s="16">
        <f>IF(D18=0,0,Tabla2[[#This Row],[VOTOS CANDIDATOS]])</f>
        <v>1956</v>
      </c>
      <c r="J18" s="19">
        <f t="shared" si="1"/>
        <v>11800</v>
      </c>
      <c r="K18" s="16" t="str">
        <f>IF(Tabla2[[#This Row],[VOTOS]]&gt;=Tabla2[[#This Row],[K&gt;]],"ELEGIDO","NO ELEGIDO")</f>
        <v>NO ELEGIDO</v>
      </c>
      <c r="L18" s="19"/>
    </row>
    <row r="19" spans="1:12" x14ac:dyDescent="0.25">
      <c r="A19" s="12" t="str">
        <f t="shared" si="0"/>
        <v>111</v>
      </c>
      <c r="B19" s="12">
        <v>1</v>
      </c>
      <c r="C19" s="12" t="s">
        <v>1</v>
      </c>
      <c r="D19" s="17">
        <v>11</v>
      </c>
      <c r="E19" s="18" t="s">
        <v>27</v>
      </c>
      <c r="F19" s="19" t="s">
        <v>281</v>
      </c>
      <c r="G19" s="25">
        <v>14000</v>
      </c>
      <c r="H19" s="16">
        <f>IF(D19=0,0,Tabla2[[#This Row],[VOTOS CANDIDATOS]])</f>
        <v>14000</v>
      </c>
      <c r="J19" s="19">
        <f t="shared" si="1"/>
        <v>11800</v>
      </c>
      <c r="K19" s="16" t="str">
        <f>IF(Tabla2[[#This Row],[VOTOS]]&gt;=Tabla2[[#This Row],[K&gt;]],"ELEGIDO","NO ELEGIDO")</f>
        <v>ELEGIDO</v>
      </c>
      <c r="L19" s="19"/>
    </row>
    <row r="20" spans="1:12" x14ac:dyDescent="0.25">
      <c r="A20" s="12" t="str">
        <f t="shared" si="0"/>
        <v>112</v>
      </c>
      <c r="B20" s="12">
        <v>1</v>
      </c>
      <c r="C20" s="12" t="s">
        <v>1</v>
      </c>
      <c r="D20" s="17">
        <v>12</v>
      </c>
      <c r="E20" s="18" t="s">
        <v>28</v>
      </c>
      <c r="F20" s="19" t="s">
        <v>281</v>
      </c>
      <c r="G20" s="25">
        <v>987</v>
      </c>
      <c r="H20" s="16">
        <f>IF(D20=0,0,Tabla2[[#This Row],[VOTOS CANDIDATOS]])</f>
        <v>987</v>
      </c>
      <c r="J20" s="19">
        <f t="shared" si="1"/>
        <v>11800</v>
      </c>
      <c r="K20" s="16" t="str">
        <f>IF(Tabla2[[#This Row],[VOTOS]]&gt;=Tabla2[[#This Row],[K&gt;]],"ELEGIDO","NO ELEGIDO")</f>
        <v>NO ELEGIDO</v>
      </c>
      <c r="L20" s="19"/>
    </row>
    <row r="21" spans="1:12" x14ac:dyDescent="0.25">
      <c r="A21" s="12" t="str">
        <f t="shared" si="0"/>
        <v>113</v>
      </c>
      <c r="B21" s="12">
        <v>1</v>
      </c>
      <c r="C21" s="12" t="s">
        <v>1</v>
      </c>
      <c r="D21" s="17">
        <v>13</v>
      </c>
      <c r="E21" s="18" t="s">
        <v>29</v>
      </c>
      <c r="F21" s="19" t="s">
        <v>281</v>
      </c>
      <c r="G21" s="25">
        <v>5962</v>
      </c>
      <c r="H21" s="16">
        <f>IF(D21=0,0,Tabla2[[#This Row],[VOTOS CANDIDATOS]])</f>
        <v>5962</v>
      </c>
      <c r="J21" s="19">
        <f t="shared" si="1"/>
        <v>11800</v>
      </c>
      <c r="K21" s="16" t="str">
        <f>IF(Tabla2[[#This Row],[VOTOS]]&gt;=Tabla2[[#This Row],[K&gt;]],"ELEGIDO","NO ELEGIDO")</f>
        <v>NO ELEGIDO</v>
      </c>
      <c r="L21" s="19"/>
    </row>
    <row r="22" spans="1:12" x14ac:dyDescent="0.25">
      <c r="A22" s="12" t="str">
        <f t="shared" si="0"/>
        <v>114</v>
      </c>
      <c r="B22" s="12">
        <v>1</v>
      </c>
      <c r="C22" s="12" t="s">
        <v>1</v>
      </c>
      <c r="D22" s="17">
        <v>14</v>
      </c>
      <c r="E22" s="18" t="s">
        <v>30</v>
      </c>
      <c r="F22" s="19" t="s">
        <v>282</v>
      </c>
      <c r="G22" s="25">
        <v>9051</v>
      </c>
      <c r="H22" s="16">
        <f>IF(D22=0,0,Tabla2[[#This Row],[VOTOS CANDIDATOS]])</f>
        <v>9051</v>
      </c>
      <c r="J22" s="19">
        <f t="shared" si="1"/>
        <v>11800</v>
      </c>
      <c r="K22" s="16" t="str">
        <f>IF(Tabla2[[#This Row],[VOTOS]]&gt;=Tabla2[[#This Row],[K&gt;]],"ELEGIDO","NO ELEGIDO")</f>
        <v>NO ELEGIDO</v>
      </c>
      <c r="L22" s="19"/>
    </row>
    <row r="23" spans="1:12" x14ac:dyDescent="0.25">
      <c r="A23" s="12" t="str">
        <f t="shared" si="0"/>
        <v>115</v>
      </c>
      <c r="B23" s="12">
        <v>1</v>
      </c>
      <c r="C23" s="12" t="s">
        <v>1</v>
      </c>
      <c r="D23" s="17">
        <v>15</v>
      </c>
      <c r="E23" s="18" t="s">
        <v>31</v>
      </c>
      <c r="F23" s="19" t="s">
        <v>282</v>
      </c>
      <c r="G23" s="25">
        <v>1989</v>
      </c>
      <c r="H23" s="16">
        <f>IF(D23=0,0,Tabla2[[#This Row],[VOTOS CANDIDATOS]])</f>
        <v>1989</v>
      </c>
      <c r="J23" s="19">
        <f t="shared" si="1"/>
        <v>11800</v>
      </c>
      <c r="K23" s="16" t="str">
        <f>IF(Tabla2[[#This Row],[VOTOS]]&gt;=Tabla2[[#This Row],[K&gt;]],"ELEGIDO","NO ELEGIDO")</f>
        <v>NO ELEGIDO</v>
      </c>
      <c r="L23" s="19"/>
    </row>
    <row r="24" spans="1:12" x14ac:dyDescent="0.25">
      <c r="A24" s="12" t="str">
        <f t="shared" si="0"/>
        <v>116</v>
      </c>
      <c r="B24" s="12">
        <v>1</v>
      </c>
      <c r="C24" s="12" t="s">
        <v>1</v>
      </c>
      <c r="D24" s="17">
        <v>16</v>
      </c>
      <c r="E24" s="18" t="s">
        <v>32</v>
      </c>
      <c r="F24" s="19" t="s">
        <v>282</v>
      </c>
      <c r="G24" s="25">
        <v>11</v>
      </c>
      <c r="H24" s="16">
        <f>IF(D24=0,0,Tabla2[[#This Row],[VOTOS CANDIDATOS]])</f>
        <v>11</v>
      </c>
      <c r="J24" s="19">
        <f t="shared" si="1"/>
        <v>11800</v>
      </c>
      <c r="K24" s="16" t="str">
        <f>IF(Tabla2[[#This Row],[VOTOS]]&gt;=Tabla2[[#This Row],[K&gt;]],"ELEGIDO","NO ELEGIDO")</f>
        <v>NO ELEGIDO</v>
      </c>
      <c r="L24" s="19"/>
    </row>
    <row r="25" spans="1:12" x14ac:dyDescent="0.25">
      <c r="A25" s="12" t="str">
        <f t="shared" si="0"/>
        <v>117</v>
      </c>
      <c r="B25" s="12">
        <v>1</v>
      </c>
      <c r="C25" s="12" t="s">
        <v>1</v>
      </c>
      <c r="D25" s="17">
        <v>17</v>
      </c>
      <c r="E25" s="18" t="s">
        <v>33</v>
      </c>
      <c r="F25" s="19" t="s">
        <v>281</v>
      </c>
      <c r="G25" s="25">
        <v>5000</v>
      </c>
      <c r="H25" s="16">
        <f>IF(D25=0,0,Tabla2[[#This Row],[VOTOS CANDIDATOS]])</f>
        <v>5000</v>
      </c>
      <c r="J25" s="19">
        <f t="shared" si="1"/>
        <v>11800</v>
      </c>
      <c r="K25" s="16" t="str">
        <f>IF(Tabla2[[#This Row],[VOTOS]]&gt;=Tabla2[[#This Row],[K&gt;]],"ELEGIDO","NO ELEGIDO")</f>
        <v>NO ELEGIDO</v>
      </c>
      <c r="L25" s="19"/>
    </row>
    <row r="26" spans="1:12" x14ac:dyDescent="0.25">
      <c r="A26" s="12" t="str">
        <f t="shared" si="0"/>
        <v>118</v>
      </c>
      <c r="B26" s="12">
        <v>1</v>
      </c>
      <c r="C26" s="12" t="s">
        <v>1</v>
      </c>
      <c r="D26" s="17">
        <v>18</v>
      </c>
      <c r="E26" s="18" t="s">
        <v>34</v>
      </c>
      <c r="F26" s="19" t="s">
        <v>282</v>
      </c>
      <c r="G26" s="25">
        <v>7898</v>
      </c>
      <c r="H26" s="16">
        <f>IF(D26=0,0,Tabla2[[#This Row],[VOTOS CANDIDATOS]])</f>
        <v>7898</v>
      </c>
      <c r="J26" s="19">
        <f t="shared" si="1"/>
        <v>11800</v>
      </c>
      <c r="K26" s="16" t="str">
        <f>IF(Tabla2[[#This Row],[VOTOS]]&gt;=Tabla2[[#This Row],[K&gt;]],"ELEGIDO","NO ELEGIDO")</f>
        <v>NO ELEGIDO</v>
      </c>
      <c r="L26" s="19"/>
    </row>
    <row r="27" spans="1:12" x14ac:dyDescent="0.25">
      <c r="A27" s="12" t="str">
        <f t="shared" si="0"/>
        <v>119</v>
      </c>
      <c r="B27" s="12">
        <v>1</v>
      </c>
      <c r="C27" s="12" t="s">
        <v>1</v>
      </c>
      <c r="D27" s="17">
        <v>19</v>
      </c>
      <c r="E27" s="18" t="s">
        <v>35</v>
      </c>
      <c r="F27" s="19" t="s">
        <v>282</v>
      </c>
      <c r="G27" s="25">
        <v>2</v>
      </c>
      <c r="H27" s="16">
        <f>IF(D27=0,0,Tabla2[[#This Row],[VOTOS CANDIDATOS]])</f>
        <v>2</v>
      </c>
      <c r="J27" s="19">
        <f t="shared" si="1"/>
        <v>11800</v>
      </c>
      <c r="K27" s="16" t="str">
        <f>IF(Tabla2[[#This Row],[VOTOS]]&gt;=Tabla2[[#This Row],[K&gt;]],"ELEGIDO","NO ELEGIDO")</f>
        <v>NO ELEGIDO</v>
      </c>
      <c r="L27" s="19"/>
    </row>
    <row r="28" spans="1:12" x14ac:dyDescent="0.25">
      <c r="A28" s="12" t="str">
        <f t="shared" si="0"/>
        <v>120</v>
      </c>
      <c r="B28" s="12">
        <v>1</v>
      </c>
      <c r="C28" s="12" t="s">
        <v>1</v>
      </c>
      <c r="D28" s="17">
        <v>20</v>
      </c>
      <c r="E28" s="18" t="s">
        <v>36</v>
      </c>
      <c r="F28" s="19" t="s">
        <v>282</v>
      </c>
      <c r="G28" s="25">
        <v>1500</v>
      </c>
      <c r="H28" s="16">
        <f>IF(D28=0,0,Tabla2[[#This Row],[VOTOS CANDIDATOS]])</f>
        <v>1500</v>
      </c>
      <c r="J28" s="19">
        <f t="shared" si="1"/>
        <v>11800</v>
      </c>
      <c r="K28" s="16" t="str">
        <f>IF(Tabla2[[#This Row],[VOTOS]]&gt;=Tabla2[[#This Row],[K&gt;]],"ELEGIDO","NO ELEGIDO")</f>
        <v>NO ELEGIDO</v>
      </c>
      <c r="L28" s="19"/>
    </row>
    <row r="29" spans="1:12" x14ac:dyDescent="0.25">
      <c r="A29" s="12" t="str">
        <f t="shared" si="0"/>
        <v>121</v>
      </c>
      <c r="B29" s="12">
        <v>1</v>
      </c>
      <c r="C29" s="12" t="s">
        <v>1</v>
      </c>
      <c r="D29" s="17">
        <v>21</v>
      </c>
      <c r="E29" s="18" t="s">
        <v>37</v>
      </c>
      <c r="F29" s="19" t="s">
        <v>281</v>
      </c>
      <c r="G29" s="25">
        <v>200</v>
      </c>
      <c r="H29" s="16">
        <f>IF(D29=0,0,Tabla2[[#This Row],[VOTOS CANDIDATOS]])</f>
        <v>200</v>
      </c>
      <c r="J29" s="19">
        <f t="shared" si="1"/>
        <v>11800</v>
      </c>
      <c r="K29" s="16" t="str">
        <f>IF(Tabla2[[#This Row],[VOTOS]]&gt;=Tabla2[[#This Row],[K&gt;]],"ELEGIDO","NO ELEGIDO")</f>
        <v>NO ELEGIDO</v>
      </c>
      <c r="L29" s="19"/>
    </row>
    <row r="30" spans="1:12" s="1" customFormat="1" ht="18.75" x14ac:dyDescent="0.3">
      <c r="A30" s="12" t="str">
        <f t="shared" si="0"/>
        <v>20</v>
      </c>
      <c r="B30" s="12">
        <v>2</v>
      </c>
      <c r="C30" s="12" t="s">
        <v>2</v>
      </c>
      <c r="D30" s="20">
        <v>0</v>
      </c>
      <c r="E30" s="16" t="s">
        <v>2</v>
      </c>
      <c r="F30" s="19"/>
      <c r="G30" s="42">
        <f>PARTIDO_SOCIAL_DE_UNIDAD_NACIONAL__PARTIDO_DE_LA_U-SUM(G31:G51)</f>
        <v>29237</v>
      </c>
      <c r="H30" s="16">
        <f>IF(D30=0,0,Tabla2[[#This Row],[VOTOS CANDIDATOS]])</f>
        <v>0</v>
      </c>
      <c r="I30" s="22">
        <f>CIFCAL!AC3</f>
        <v>5</v>
      </c>
      <c r="J30" s="16">
        <f>LARGE(H30:H51,Tabla2[[#This Row],[CURULES]])</f>
        <v>9100</v>
      </c>
      <c r="K30" s="16"/>
      <c r="L30" s="16"/>
    </row>
    <row r="31" spans="1:12" x14ac:dyDescent="0.25">
      <c r="A31" s="12" t="str">
        <f t="shared" si="0"/>
        <v>21</v>
      </c>
      <c r="B31" s="12">
        <v>2</v>
      </c>
      <c r="C31" s="12" t="s">
        <v>2</v>
      </c>
      <c r="D31" s="17">
        <v>1</v>
      </c>
      <c r="E31" s="18" t="s">
        <v>38</v>
      </c>
      <c r="F31" s="19" t="s">
        <v>282</v>
      </c>
      <c r="G31" s="25">
        <v>9800</v>
      </c>
      <c r="H31" s="16">
        <f>IF(D31=0,0,Tabla2[[#This Row],[VOTOS CANDIDATOS]])</f>
        <v>9800</v>
      </c>
      <c r="J31" s="19">
        <f>J30</f>
        <v>9100</v>
      </c>
      <c r="K31" s="16" t="str">
        <f>IF(Tabla2[[#This Row],[VOTOS]]&gt;=Tabla2[[#This Row],[K&gt;]],"ELEGIDO","NO ELEGIDO")</f>
        <v>ELEGIDO</v>
      </c>
      <c r="L31" s="19"/>
    </row>
    <row r="32" spans="1:12" x14ac:dyDescent="0.25">
      <c r="A32" s="12" t="str">
        <f t="shared" si="0"/>
        <v>22</v>
      </c>
      <c r="B32" s="12">
        <v>2</v>
      </c>
      <c r="C32" s="12" t="s">
        <v>2</v>
      </c>
      <c r="D32" s="17">
        <v>2</v>
      </c>
      <c r="E32" s="18" t="s">
        <v>39</v>
      </c>
      <c r="F32" s="19" t="s">
        <v>281</v>
      </c>
      <c r="G32" s="25">
        <v>5989</v>
      </c>
      <c r="H32" s="16">
        <f>IF(D32=0,0,Tabla2[[#This Row],[VOTOS CANDIDATOS]])</f>
        <v>5989</v>
      </c>
      <c r="J32" s="19">
        <f t="shared" ref="J32:J51" si="2">J31</f>
        <v>9100</v>
      </c>
      <c r="K32" s="16" t="str">
        <f>IF(Tabla2[[#This Row],[VOTOS]]&gt;=Tabla2[[#This Row],[K&gt;]],"ELEGIDO","NO ELEGIDO")</f>
        <v>NO ELEGIDO</v>
      </c>
      <c r="L32" s="19"/>
    </row>
    <row r="33" spans="1:12" x14ac:dyDescent="0.25">
      <c r="A33" s="12" t="str">
        <f t="shared" si="0"/>
        <v>23</v>
      </c>
      <c r="B33" s="12">
        <v>2</v>
      </c>
      <c r="C33" s="12" t="s">
        <v>2</v>
      </c>
      <c r="D33" s="17">
        <v>3</v>
      </c>
      <c r="E33" s="18" t="s">
        <v>40</v>
      </c>
      <c r="F33" s="19" t="s">
        <v>281</v>
      </c>
      <c r="G33" s="25">
        <v>6900</v>
      </c>
      <c r="H33" s="16">
        <f>IF(D33=0,0,Tabla2[[#This Row],[VOTOS CANDIDATOS]])</f>
        <v>6900</v>
      </c>
      <c r="J33" s="19">
        <f t="shared" si="2"/>
        <v>9100</v>
      </c>
      <c r="K33" s="16" t="str">
        <f>IF(Tabla2[[#This Row],[VOTOS]]&gt;=Tabla2[[#This Row],[K&gt;]],"ELEGIDO","NO ELEGIDO")</f>
        <v>NO ELEGIDO</v>
      </c>
      <c r="L33" s="19"/>
    </row>
    <row r="34" spans="1:12" x14ac:dyDescent="0.25">
      <c r="A34" s="12" t="str">
        <f t="shared" si="0"/>
        <v>24</v>
      </c>
      <c r="B34" s="12">
        <v>2</v>
      </c>
      <c r="C34" s="12" t="s">
        <v>2</v>
      </c>
      <c r="D34" s="17">
        <v>4</v>
      </c>
      <c r="E34" s="18" t="s">
        <v>41</v>
      </c>
      <c r="F34" s="19" t="s">
        <v>281</v>
      </c>
      <c r="G34" s="25">
        <v>4700</v>
      </c>
      <c r="H34" s="16">
        <f>IF(D34=0,0,Tabla2[[#This Row],[VOTOS CANDIDATOS]])</f>
        <v>4700</v>
      </c>
      <c r="J34" s="19">
        <f t="shared" si="2"/>
        <v>9100</v>
      </c>
      <c r="K34" s="16" t="str">
        <f>IF(Tabla2[[#This Row],[VOTOS]]&gt;=Tabla2[[#This Row],[K&gt;]],"ELEGIDO","NO ELEGIDO")</f>
        <v>NO ELEGIDO</v>
      </c>
      <c r="L34" s="19"/>
    </row>
    <row r="35" spans="1:12" x14ac:dyDescent="0.25">
      <c r="A35" s="12" t="str">
        <f t="shared" si="0"/>
        <v>25</v>
      </c>
      <c r="B35" s="12">
        <v>2</v>
      </c>
      <c r="C35" s="12" t="s">
        <v>2</v>
      </c>
      <c r="D35" s="17">
        <v>5</v>
      </c>
      <c r="E35" s="18" t="s">
        <v>42</v>
      </c>
      <c r="F35" s="19" t="s">
        <v>282</v>
      </c>
      <c r="G35" s="25">
        <v>9100</v>
      </c>
      <c r="H35" s="16">
        <f>IF(D35=0,0,Tabla2[[#This Row],[VOTOS CANDIDATOS]])</f>
        <v>9100</v>
      </c>
      <c r="J35" s="19">
        <f t="shared" si="2"/>
        <v>9100</v>
      </c>
      <c r="K35" s="16" t="str">
        <f>IF(Tabla2[[#This Row],[VOTOS]]&gt;=Tabla2[[#This Row],[K&gt;]],"ELEGIDO","NO ELEGIDO")</f>
        <v>ELEGIDO</v>
      </c>
      <c r="L35" s="19"/>
    </row>
    <row r="36" spans="1:12" x14ac:dyDescent="0.25">
      <c r="A36" s="12" t="str">
        <f t="shared" si="0"/>
        <v>26</v>
      </c>
      <c r="B36" s="12">
        <v>2</v>
      </c>
      <c r="C36" s="12" t="s">
        <v>2</v>
      </c>
      <c r="D36" s="17">
        <v>6</v>
      </c>
      <c r="E36" s="18" t="s">
        <v>43</v>
      </c>
      <c r="F36" s="19" t="s">
        <v>281</v>
      </c>
      <c r="G36" s="25">
        <v>9789</v>
      </c>
      <c r="H36" s="16">
        <f>IF(D36=0,0,Tabla2[[#This Row],[VOTOS CANDIDATOS]])</f>
        <v>9789</v>
      </c>
      <c r="J36" s="19">
        <f t="shared" si="2"/>
        <v>9100</v>
      </c>
      <c r="K36" s="16" t="str">
        <f>IF(Tabla2[[#This Row],[VOTOS]]&gt;=Tabla2[[#This Row],[K&gt;]],"ELEGIDO","NO ELEGIDO")</f>
        <v>ELEGIDO</v>
      </c>
      <c r="L36" s="19"/>
    </row>
    <row r="37" spans="1:12" x14ac:dyDescent="0.25">
      <c r="A37" s="12" t="str">
        <f t="shared" si="0"/>
        <v>27</v>
      </c>
      <c r="B37" s="12">
        <v>2</v>
      </c>
      <c r="C37" s="12" t="s">
        <v>2</v>
      </c>
      <c r="D37" s="17">
        <v>7</v>
      </c>
      <c r="E37" s="18" t="s">
        <v>44</v>
      </c>
      <c r="F37" s="19" t="s">
        <v>281</v>
      </c>
      <c r="G37" s="25">
        <v>14000</v>
      </c>
      <c r="H37" s="16">
        <f>IF(D37=0,0,Tabla2[[#This Row],[VOTOS CANDIDATOS]])</f>
        <v>14000</v>
      </c>
      <c r="J37" s="19">
        <f t="shared" si="2"/>
        <v>9100</v>
      </c>
      <c r="K37" s="16" t="str">
        <f>IF(Tabla2[[#This Row],[VOTOS]]&gt;=Tabla2[[#This Row],[K&gt;]],"ELEGIDO","NO ELEGIDO")</f>
        <v>ELEGIDO</v>
      </c>
      <c r="L37" s="19"/>
    </row>
    <row r="38" spans="1:12" x14ac:dyDescent="0.25">
      <c r="A38" s="12" t="str">
        <f t="shared" si="0"/>
        <v>28</v>
      </c>
      <c r="B38" s="12">
        <v>2</v>
      </c>
      <c r="C38" s="12" t="s">
        <v>2</v>
      </c>
      <c r="D38" s="17">
        <v>8</v>
      </c>
      <c r="E38" s="18" t="s">
        <v>45</v>
      </c>
      <c r="F38" s="19" t="s">
        <v>282</v>
      </c>
      <c r="G38" s="25">
        <v>9600</v>
      </c>
      <c r="H38" s="16">
        <f>IF(D38=0,0,Tabla2[[#This Row],[VOTOS CANDIDATOS]])</f>
        <v>9600</v>
      </c>
      <c r="J38" s="19">
        <f t="shared" si="2"/>
        <v>9100</v>
      </c>
      <c r="K38" s="16" t="str">
        <f>IF(Tabla2[[#This Row],[VOTOS]]&gt;=Tabla2[[#This Row],[K&gt;]],"ELEGIDO","NO ELEGIDO")</f>
        <v>ELEGIDO</v>
      </c>
      <c r="L38" s="19"/>
    </row>
    <row r="39" spans="1:12" x14ac:dyDescent="0.25">
      <c r="A39" s="12" t="str">
        <f t="shared" si="0"/>
        <v>29</v>
      </c>
      <c r="B39" s="12">
        <v>2</v>
      </c>
      <c r="C39" s="12" t="s">
        <v>2</v>
      </c>
      <c r="D39" s="17">
        <v>9</v>
      </c>
      <c r="E39" s="18" t="s">
        <v>46</v>
      </c>
      <c r="F39" s="19" t="s">
        <v>281</v>
      </c>
      <c r="G39" s="25">
        <v>43</v>
      </c>
      <c r="H39" s="16">
        <f>IF(D39=0,0,Tabla2[[#This Row],[VOTOS CANDIDATOS]])</f>
        <v>43</v>
      </c>
      <c r="J39" s="19">
        <f t="shared" si="2"/>
        <v>9100</v>
      </c>
      <c r="K39" s="16" t="str">
        <f>IF(Tabla2[[#This Row],[VOTOS]]&gt;=Tabla2[[#This Row],[K&gt;]],"ELEGIDO","NO ELEGIDO")</f>
        <v>NO ELEGIDO</v>
      </c>
      <c r="L39" s="19"/>
    </row>
    <row r="40" spans="1:12" x14ac:dyDescent="0.25">
      <c r="A40" s="12" t="str">
        <f t="shared" si="0"/>
        <v>210</v>
      </c>
      <c r="B40" s="12">
        <v>2</v>
      </c>
      <c r="C40" s="12" t="s">
        <v>2</v>
      </c>
      <c r="D40" s="17">
        <v>10</v>
      </c>
      <c r="E40" s="18" t="s">
        <v>47</v>
      </c>
      <c r="F40" s="19" t="s">
        <v>281</v>
      </c>
      <c r="G40" s="25">
        <v>987</v>
      </c>
      <c r="H40" s="16">
        <f>IF(D40=0,0,Tabla2[[#This Row],[VOTOS CANDIDATOS]])</f>
        <v>987</v>
      </c>
      <c r="J40" s="19">
        <f t="shared" si="2"/>
        <v>9100</v>
      </c>
      <c r="K40" s="16" t="str">
        <f>IF(Tabla2[[#This Row],[VOTOS]]&gt;=Tabla2[[#This Row],[K&gt;]],"ELEGIDO","NO ELEGIDO")</f>
        <v>NO ELEGIDO</v>
      </c>
      <c r="L40" s="19"/>
    </row>
    <row r="41" spans="1:12" x14ac:dyDescent="0.25">
      <c r="A41" s="12" t="str">
        <f t="shared" si="0"/>
        <v>211</v>
      </c>
      <c r="B41" s="12">
        <v>2</v>
      </c>
      <c r="C41" s="12" t="s">
        <v>2</v>
      </c>
      <c r="D41" s="17">
        <v>11</v>
      </c>
      <c r="E41" s="18" t="s">
        <v>48</v>
      </c>
      <c r="F41" s="19" t="s">
        <v>281</v>
      </c>
      <c r="G41" s="25">
        <v>1456</v>
      </c>
      <c r="H41" s="16">
        <f>IF(D41=0,0,Tabla2[[#This Row],[VOTOS CANDIDATOS]])</f>
        <v>1456</v>
      </c>
      <c r="J41" s="19">
        <f t="shared" si="2"/>
        <v>9100</v>
      </c>
      <c r="K41" s="16" t="str">
        <f>IF(Tabla2[[#This Row],[VOTOS]]&gt;=Tabla2[[#This Row],[K&gt;]],"ELEGIDO","NO ELEGIDO")</f>
        <v>NO ELEGIDO</v>
      </c>
      <c r="L41" s="19"/>
    </row>
    <row r="42" spans="1:12" x14ac:dyDescent="0.25">
      <c r="A42" s="12" t="str">
        <f t="shared" si="0"/>
        <v>212</v>
      </c>
      <c r="B42" s="12">
        <v>2</v>
      </c>
      <c r="C42" s="12" t="s">
        <v>2</v>
      </c>
      <c r="D42" s="17">
        <v>12</v>
      </c>
      <c r="E42" s="18" t="s">
        <v>49</v>
      </c>
      <c r="F42" s="19" t="s">
        <v>281</v>
      </c>
      <c r="G42" s="25">
        <v>1798</v>
      </c>
      <c r="H42" s="16">
        <f>IF(D42=0,0,Tabla2[[#This Row],[VOTOS CANDIDATOS]])</f>
        <v>1798</v>
      </c>
      <c r="J42" s="19">
        <f t="shared" si="2"/>
        <v>9100</v>
      </c>
      <c r="K42" s="16" t="str">
        <f>IF(Tabla2[[#This Row],[VOTOS]]&gt;=Tabla2[[#This Row],[K&gt;]],"ELEGIDO","NO ELEGIDO")</f>
        <v>NO ELEGIDO</v>
      </c>
      <c r="L42" s="19"/>
    </row>
    <row r="43" spans="1:12" x14ac:dyDescent="0.25">
      <c r="A43" s="12" t="str">
        <f t="shared" si="0"/>
        <v>213</v>
      </c>
      <c r="B43" s="12">
        <v>2</v>
      </c>
      <c r="C43" s="12" t="s">
        <v>2</v>
      </c>
      <c r="D43" s="17">
        <v>13</v>
      </c>
      <c r="E43" s="18" t="s">
        <v>50</v>
      </c>
      <c r="F43" s="19" t="s">
        <v>281</v>
      </c>
      <c r="G43" s="25">
        <v>5236</v>
      </c>
      <c r="H43" s="16">
        <f>IF(D43=0,0,Tabla2[[#This Row],[VOTOS CANDIDATOS]])</f>
        <v>5236</v>
      </c>
      <c r="J43" s="19">
        <f t="shared" si="2"/>
        <v>9100</v>
      </c>
      <c r="K43" s="16" t="str">
        <f>IF(Tabla2[[#This Row],[VOTOS]]&gt;=Tabla2[[#This Row],[K&gt;]],"ELEGIDO","NO ELEGIDO")</f>
        <v>NO ELEGIDO</v>
      </c>
      <c r="L43" s="19"/>
    </row>
    <row r="44" spans="1:12" x14ac:dyDescent="0.25">
      <c r="A44" s="12" t="str">
        <f t="shared" si="0"/>
        <v>214</v>
      </c>
      <c r="B44" s="12">
        <v>2</v>
      </c>
      <c r="C44" s="12" t="s">
        <v>2</v>
      </c>
      <c r="D44" s="17">
        <v>14</v>
      </c>
      <c r="E44" s="18" t="s">
        <v>51</v>
      </c>
      <c r="F44" s="19" t="s">
        <v>281</v>
      </c>
      <c r="G44" s="25">
        <v>98</v>
      </c>
      <c r="H44" s="16">
        <f>IF(D44=0,0,Tabla2[[#This Row],[VOTOS CANDIDATOS]])</f>
        <v>98</v>
      </c>
      <c r="J44" s="19">
        <f t="shared" si="2"/>
        <v>9100</v>
      </c>
      <c r="K44" s="16" t="str">
        <f>IF(Tabla2[[#This Row],[VOTOS]]&gt;=Tabla2[[#This Row],[K&gt;]],"ELEGIDO","NO ELEGIDO")</f>
        <v>NO ELEGIDO</v>
      </c>
      <c r="L44" s="19"/>
    </row>
    <row r="45" spans="1:12" x14ac:dyDescent="0.25">
      <c r="A45" s="12" t="str">
        <f t="shared" si="0"/>
        <v>215</v>
      </c>
      <c r="B45" s="12">
        <v>2</v>
      </c>
      <c r="C45" s="12" t="s">
        <v>2</v>
      </c>
      <c r="D45" s="17">
        <v>15</v>
      </c>
      <c r="E45" s="18" t="s">
        <v>52</v>
      </c>
      <c r="F45" s="19" t="s">
        <v>282</v>
      </c>
      <c r="G45" s="25">
        <v>69</v>
      </c>
      <c r="H45" s="16">
        <f>IF(D45=0,0,Tabla2[[#This Row],[VOTOS CANDIDATOS]])</f>
        <v>69</v>
      </c>
      <c r="J45" s="19">
        <f t="shared" si="2"/>
        <v>9100</v>
      </c>
      <c r="K45" s="16" t="str">
        <f>IF(Tabla2[[#This Row],[VOTOS]]&gt;=Tabla2[[#This Row],[K&gt;]],"ELEGIDO","NO ELEGIDO")</f>
        <v>NO ELEGIDO</v>
      </c>
      <c r="L45" s="19"/>
    </row>
    <row r="46" spans="1:12" x14ac:dyDescent="0.25">
      <c r="A46" s="12" t="str">
        <f t="shared" si="0"/>
        <v>216</v>
      </c>
      <c r="B46" s="12">
        <v>2</v>
      </c>
      <c r="C46" s="12" t="s">
        <v>2</v>
      </c>
      <c r="D46" s="17">
        <v>16</v>
      </c>
      <c r="E46" s="18" t="s">
        <v>53</v>
      </c>
      <c r="F46" s="19" t="s">
        <v>282</v>
      </c>
      <c r="G46" s="25">
        <v>26</v>
      </c>
      <c r="H46" s="16">
        <f>IF(D46=0,0,Tabla2[[#This Row],[VOTOS CANDIDATOS]])</f>
        <v>26</v>
      </c>
      <c r="J46" s="19">
        <f t="shared" si="2"/>
        <v>9100</v>
      </c>
      <c r="K46" s="16" t="str">
        <f>IF(Tabla2[[#This Row],[VOTOS]]&gt;=Tabla2[[#This Row],[K&gt;]],"ELEGIDO","NO ELEGIDO")</f>
        <v>NO ELEGIDO</v>
      </c>
      <c r="L46" s="19"/>
    </row>
    <row r="47" spans="1:12" x14ac:dyDescent="0.25">
      <c r="A47" s="12" t="str">
        <f t="shared" si="0"/>
        <v>217</v>
      </c>
      <c r="B47" s="12">
        <v>2</v>
      </c>
      <c r="C47" s="12" t="s">
        <v>2</v>
      </c>
      <c r="D47" s="17">
        <v>17</v>
      </c>
      <c r="E47" s="18" t="s">
        <v>54</v>
      </c>
      <c r="F47" s="19" t="s">
        <v>282</v>
      </c>
      <c r="G47" s="25">
        <v>14</v>
      </c>
      <c r="H47" s="16">
        <f>IF(D47=0,0,Tabla2[[#This Row],[VOTOS CANDIDATOS]])</f>
        <v>14</v>
      </c>
      <c r="J47" s="19">
        <f t="shared" si="2"/>
        <v>9100</v>
      </c>
      <c r="K47" s="16" t="str">
        <f>IF(Tabla2[[#This Row],[VOTOS]]&gt;=Tabla2[[#This Row],[K&gt;]],"ELEGIDO","NO ELEGIDO")</f>
        <v>NO ELEGIDO</v>
      </c>
      <c r="L47" s="19"/>
    </row>
    <row r="48" spans="1:12" x14ac:dyDescent="0.25">
      <c r="A48" s="12" t="str">
        <f t="shared" si="0"/>
        <v>218</v>
      </c>
      <c r="B48" s="12">
        <v>2</v>
      </c>
      <c r="C48" s="12" t="s">
        <v>2</v>
      </c>
      <c r="D48" s="17">
        <v>18</v>
      </c>
      <c r="E48" s="18" t="s">
        <v>55</v>
      </c>
      <c r="F48" s="19" t="s">
        <v>281</v>
      </c>
      <c r="G48" s="25">
        <v>35</v>
      </c>
      <c r="H48" s="16">
        <f>IF(D48=0,0,Tabla2[[#This Row],[VOTOS CANDIDATOS]])</f>
        <v>35</v>
      </c>
      <c r="J48" s="19">
        <f t="shared" si="2"/>
        <v>9100</v>
      </c>
      <c r="K48" s="16" t="str">
        <f>IF(Tabla2[[#This Row],[VOTOS]]&gt;=Tabla2[[#This Row],[K&gt;]],"ELEGIDO","NO ELEGIDO")</f>
        <v>NO ELEGIDO</v>
      </c>
      <c r="L48" s="19"/>
    </row>
    <row r="49" spans="1:12" x14ac:dyDescent="0.25">
      <c r="A49" s="12" t="str">
        <f t="shared" si="0"/>
        <v>219</v>
      </c>
      <c r="B49" s="12">
        <v>2</v>
      </c>
      <c r="C49" s="12" t="s">
        <v>2</v>
      </c>
      <c r="D49" s="17">
        <v>19</v>
      </c>
      <c r="E49" s="18" t="s">
        <v>56</v>
      </c>
      <c r="F49" s="19" t="s">
        <v>282</v>
      </c>
      <c r="G49" s="25">
        <v>156</v>
      </c>
      <c r="H49" s="16">
        <f>IF(D49=0,0,Tabla2[[#This Row],[VOTOS CANDIDATOS]])</f>
        <v>156</v>
      </c>
      <c r="J49" s="19">
        <f t="shared" si="2"/>
        <v>9100</v>
      </c>
      <c r="K49" s="16" t="str">
        <f>IF(Tabla2[[#This Row],[VOTOS]]&gt;=Tabla2[[#This Row],[K&gt;]],"ELEGIDO","NO ELEGIDO")</f>
        <v>NO ELEGIDO</v>
      </c>
      <c r="L49" s="19"/>
    </row>
    <row r="50" spans="1:12" x14ac:dyDescent="0.25">
      <c r="A50" s="12" t="str">
        <f t="shared" si="0"/>
        <v>220</v>
      </c>
      <c r="B50" s="12">
        <v>2</v>
      </c>
      <c r="C50" s="12" t="s">
        <v>2</v>
      </c>
      <c r="D50" s="17">
        <v>20</v>
      </c>
      <c r="E50" s="18" t="s">
        <v>57</v>
      </c>
      <c r="F50" s="19" t="s">
        <v>281</v>
      </c>
      <c r="G50" s="25">
        <v>11</v>
      </c>
      <c r="H50" s="16">
        <f>IF(D50=0,0,Tabla2[[#This Row],[VOTOS CANDIDATOS]])</f>
        <v>11</v>
      </c>
      <c r="J50" s="19">
        <f t="shared" si="2"/>
        <v>9100</v>
      </c>
      <c r="K50" s="16" t="str">
        <f>IF(Tabla2[[#This Row],[VOTOS]]&gt;=Tabla2[[#This Row],[K&gt;]],"ELEGIDO","NO ELEGIDO")</f>
        <v>NO ELEGIDO</v>
      </c>
      <c r="L50" s="19"/>
    </row>
    <row r="51" spans="1:12" x14ac:dyDescent="0.25">
      <c r="A51" s="12" t="str">
        <f t="shared" si="0"/>
        <v>221</v>
      </c>
      <c r="B51" s="12">
        <v>2</v>
      </c>
      <c r="C51" s="12" t="s">
        <v>2</v>
      </c>
      <c r="D51" s="17">
        <v>21</v>
      </c>
      <c r="E51" s="18" t="s">
        <v>58</v>
      </c>
      <c r="F51" s="19" t="s">
        <v>281</v>
      </c>
      <c r="G51" s="25">
        <v>1260</v>
      </c>
      <c r="H51" s="16">
        <f>IF(D51=0,0,Tabla2[[#This Row],[VOTOS CANDIDATOS]])</f>
        <v>1260</v>
      </c>
      <c r="J51" s="19">
        <f t="shared" si="2"/>
        <v>9100</v>
      </c>
      <c r="K51" s="16" t="str">
        <f>IF(Tabla2[[#This Row],[VOTOS]]&gt;=Tabla2[[#This Row],[K&gt;]],"ELEGIDO","NO ELEGIDO")</f>
        <v>NO ELEGIDO</v>
      </c>
      <c r="L51" s="19"/>
    </row>
    <row r="52" spans="1:12" s="1" customFormat="1" ht="18.75" x14ac:dyDescent="0.3">
      <c r="A52" s="12" t="str">
        <f t="shared" si="0"/>
        <v>30</v>
      </c>
      <c r="B52" s="12">
        <v>3</v>
      </c>
      <c r="C52" s="12" t="s">
        <v>3</v>
      </c>
      <c r="D52" s="20">
        <v>0</v>
      </c>
      <c r="E52" s="16" t="s">
        <v>3</v>
      </c>
      <c r="F52" s="19"/>
      <c r="G52" s="42">
        <f>MOVIMIENTO_MIRA-SUM(G53:G73)</f>
        <v>-475</v>
      </c>
      <c r="H52" s="16">
        <f>IF(D52=0,0,Tabla2[[#This Row],[VOTOS CANDIDATOS]])</f>
        <v>0</v>
      </c>
      <c r="I52" s="22">
        <f>CIFCAL!AC4</f>
        <v>1</v>
      </c>
      <c r="J52" s="16">
        <f>LARGE(H52:H73,Tabla2[[#This Row],[CURULES]])</f>
        <v>9888</v>
      </c>
      <c r="K52" s="16"/>
      <c r="L52" s="16"/>
    </row>
    <row r="53" spans="1:12" x14ac:dyDescent="0.25">
      <c r="A53" s="12" t="str">
        <f t="shared" si="0"/>
        <v>31</v>
      </c>
      <c r="B53" s="12">
        <v>3</v>
      </c>
      <c r="C53" s="12" t="s">
        <v>3</v>
      </c>
      <c r="D53" s="17">
        <v>1</v>
      </c>
      <c r="E53" s="18" t="s">
        <v>59</v>
      </c>
      <c r="F53" s="19" t="s">
        <v>281</v>
      </c>
      <c r="G53" s="25">
        <v>9888</v>
      </c>
      <c r="H53" s="16">
        <f>IF(D53=0,0,Tabla2[[#This Row],[VOTOS CANDIDATOS]])</f>
        <v>9888</v>
      </c>
      <c r="J53" s="19">
        <f>J52</f>
        <v>9888</v>
      </c>
      <c r="K53" s="16" t="str">
        <f>IF(Tabla2[[#This Row],[VOTOS]]&gt;=Tabla2[[#This Row],[K&gt;]],"ELEGIDO","NO ELEGIDO")</f>
        <v>ELEGIDO</v>
      </c>
      <c r="L53" s="19"/>
    </row>
    <row r="54" spans="1:12" x14ac:dyDescent="0.25">
      <c r="A54" s="12" t="str">
        <f t="shared" si="0"/>
        <v>32</v>
      </c>
      <c r="B54" s="12">
        <v>3</v>
      </c>
      <c r="C54" s="12" t="s">
        <v>3</v>
      </c>
      <c r="D54" s="17">
        <v>2</v>
      </c>
      <c r="E54" s="18" t="s">
        <v>60</v>
      </c>
      <c r="F54" s="19" t="s">
        <v>281</v>
      </c>
      <c r="G54" s="25">
        <v>1456</v>
      </c>
      <c r="H54" s="16">
        <f>IF(D54=0,0,Tabla2[[#This Row],[VOTOS CANDIDATOS]])</f>
        <v>1456</v>
      </c>
      <c r="J54" s="19">
        <f t="shared" ref="J54:J73" si="3">J53</f>
        <v>9888</v>
      </c>
      <c r="K54" s="16" t="str">
        <f>IF(Tabla2[[#This Row],[VOTOS]]&gt;=Tabla2[[#This Row],[K&gt;]],"ELEGIDO","NO ELEGIDO")</f>
        <v>NO ELEGIDO</v>
      </c>
      <c r="L54" s="19"/>
    </row>
    <row r="55" spans="1:12" x14ac:dyDescent="0.25">
      <c r="A55" s="12" t="str">
        <f t="shared" si="0"/>
        <v>33</v>
      </c>
      <c r="B55" s="12">
        <v>3</v>
      </c>
      <c r="C55" s="12" t="s">
        <v>3</v>
      </c>
      <c r="D55" s="17">
        <v>3</v>
      </c>
      <c r="E55" s="18" t="s">
        <v>61</v>
      </c>
      <c r="F55" s="19" t="s">
        <v>281</v>
      </c>
      <c r="G55" s="25">
        <v>1598</v>
      </c>
      <c r="H55" s="16">
        <f>IF(D55=0,0,Tabla2[[#This Row],[VOTOS CANDIDATOS]])</f>
        <v>1598</v>
      </c>
      <c r="J55" s="19">
        <f t="shared" si="3"/>
        <v>9888</v>
      </c>
      <c r="K55" s="16" t="str">
        <f>IF(Tabla2[[#This Row],[VOTOS]]&gt;=Tabla2[[#This Row],[K&gt;]],"ELEGIDO","NO ELEGIDO")</f>
        <v>NO ELEGIDO</v>
      </c>
      <c r="L55" s="19"/>
    </row>
    <row r="56" spans="1:12" x14ac:dyDescent="0.25">
      <c r="A56" s="12" t="str">
        <f t="shared" si="0"/>
        <v>34</v>
      </c>
      <c r="B56" s="12">
        <v>3</v>
      </c>
      <c r="C56" s="12" t="s">
        <v>3</v>
      </c>
      <c r="D56" s="17">
        <v>4</v>
      </c>
      <c r="E56" s="18" t="s">
        <v>62</v>
      </c>
      <c r="F56" s="19" t="s">
        <v>282</v>
      </c>
      <c r="G56" s="25">
        <v>11</v>
      </c>
      <c r="H56" s="16">
        <f>IF(D56=0,0,Tabla2[[#This Row],[VOTOS CANDIDATOS]])</f>
        <v>11</v>
      </c>
      <c r="J56" s="19">
        <f t="shared" si="3"/>
        <v>9888</v>
      </c>
      <c r="K56" s="16" t="str">
        <f>IF(Tabla2[[#This Row],[VOTOS]]&gt;=Tabla2[[#This Row],[K&gt;]],"ELEGIDO","NO ELEGIDO")</f>
        <v>NO ELEGIDO</v>
      </c>
      <c r="L56" s="19"/>
    </row>
    <row r="57" spans="1:12" x14ac:dyDescent="0.25">
      <c r="A57" s="12" t="str">
        <f t="shared" si="0"/>
        <v>35</v>
      </c>
      <c r="B57" s="12">
        <v>3</v>
      </c>
      <c r="C57" s="12" t="s">
        <v>3</v>
      </c>
      <c r="D57" s="17">
        <v>5</v>
      </c>
      <c r="E57" s="18" t="s">
        <v>63</v>
      </c>
      <c r="F57" s="19" t="s">
        <v>281</v>
      </c>
      <c r="G57" s="25">
        <v>2</v>
      </c>
      <c r="H57" s="16">
        <f>IF(D57=0,0,Tabla2[[#This Row],[VOTOS CANDIDATOS]])</f>
        <v>2</v>
      </c>
      <c r="J57" s="19">
        <f t="shared" si="3"/>
        <v>9888</v>
      </c>
      <c r="K57" s="16" t="str">
        <f>IF(Tabla2[[#This Row],[VOTOS]]&gt;=Tabla2[[#This Row],[K&gt;]],"ELEGIDO","NO ELEGIDO")</f>
        <v>NO ELEGIDO</v>
      </c>
      <c r="L57" s="19"/>
    </row>
    <row r="58" spans="1:12" x14ac:dyDescent="0.25">
      <c r="A58" s="12" t="str">
        <f t="shared" si="0"/>
        <v>36</v>
      </c>
      <c r="B58" s="12">
        <v>3</v>
      </c>
      <c r="C58" s="12" t="s">
        <v>3</v>
      </c>
      <c r="D58" s="17">
        <v>6</v>
      </c>
      <c r="E58" s="18" t="s">
        <v>64</v>
      </c>
      <c r="F58" s="19" t="s">
        <v>282</v>
      </c>
      <c r="G58" s="25">
        <v>36</v>
      </c>
      <c r="H58" s="16">
        <f>IF(D58=0,0,Tabla2[[#This Row],[VOTOS CANDIDATOS]])</f>
        <v>36</v>
      </c>
      <c r="J58" s="19">
        <f t="shared" si="3"/>
        <v>9888</v>
      </c>
      <c r="K58" s="16" t="str">
        <f>IF(Tabla2[[#This Row],[VOTOS]]&gt;=Tabla2[[#This Row],[K&gt;]],"ELEGIDO","NO ELEGIDO")</f>
        <v>NO ELEGIDO</v>
      </c>
      <c r="L58" s="19"/>
    </row>
    <row r="59" spans="1:12" x14ac:dyDescent="0.25">
      <c r="A59" s="12" t="str">
        <f t="shared" si="0"/>
        <v>37</v>
      </c>
      <c r="B59" s="12">
        <v>3</v>
      </c>
      <c r="C59" s="12" t="s">
        <v>3</v>
      </c>
      <c r="D59" s="17">
        <v>7</v>
      </c>
      <c r="E59" s="18" t="s">
        <v>65</v>
      </c>
      <c r="F59" s="19" t="s">
        <v>281</v>
      </c>
      <c r="G59" s="25">
        <v>14</v>
      </c>
      <c r="H59" s="16">
        <f>IF(D59=0,0,Tabla2[[#This Row],[VOTOS CANDIDATOS]])</f>
        <v>14</v>
      </c>
      <c r="J59" s="19">
        <f t="shared" si="3"/>
        <v>9888</v>
      </c>
      <c r="K59" s="16" t="str">
        <f>IF(Tabla2[[#This Row],[VOTOS]]&gt;=Tabla2[[#This Row],[K&gt;]],"ELEGIDO","NO ELEGIDO")</f>
        <v>NO ELEGIDO</v>
      </c>
      <c r="L59" s="19"/>
    </row>
    <row r="60" spans="1:12" x14ac:dyDescent="0.25">
      <c r="A60" s="12" t="str">
        <f t="shared" si="0"/>
        <v>38</v>
      </c>
      <c r="B60" s="12">
        <v>3</v>
      </c>
      <c r="C60" s="12" t="s">
        <v>3</v>
      </c>
      <c r="D60" s="17">
        <v>8</v>
      </c>
      <c r="E60" s="18" t="s">
        <v>66</v>
      </c>
      <c r="F60" s="19" t="s">
        <v>282</v>
      </c>
      <c r="G60" s="25">
        <v>21</v>
      </c>
      <c r="H60" s="16">
        <f>IF(D60=0,0,Tabla2[[#This Row],[VOTOS CANDIDATOS]])</f>
        <v>21</v>
      </c>
      <c r="J60" s="19">
        <f t="shared" si="3"/>
        <v>9888</v>
      </c>
      <c r="K60" s="16" t="str">
        <f>IF(Tabla2[[#This Row],[VOTOS]]&gt;=Tabla2[[#This Row],[K&gt;]],"ELEGIDO","NO ELEGIDO")</f>
        <v>NO ELEGIDO</v>
      </c>
      <c r="L60" s="19"/>
    </row>
    <row r="61" spans="1:12" x14ac:dyDescent="0.25">
      <c r="A61" s="12" t="str">
        <f t="shared" si="0"/>
        <v>39</v>
      </c>
      <c r="B61" s="12">
        <v>3</v>
      </c>
      <c r="C61" s="12" t="s">
        <v>3</v>
      </c>
      <c r="D61" s="17">
        <v>9</v>
      </c>
      <c r="E61" s="18" t="s">
        <v>67</v>
      </c>
      <c r="F61" s="19" t="s">
        <v>281</v>
      </c>
      <c r="G61" s="25">
        <v>1256</v>
      </c>
      <c r="H61" s="16">
        <f>IF(D61=0,0,Tabla2[[#This Row],[VOTOS CANDIDATOS]])</f>
        <v>1256</v>
      </c>
      <c r="J61" s="19">
        <f t="shared" si="3"/>
        <v>9888</v>
      </c>
      <c r="K61" s="16" t="str">
        <f>IF(Tabla2[[#This Row],[VOTOS]]&gt;=Tabla2[[#This Row],[K&gt;]],"ELEGIDO","NO ELEGIDO")</f>
        <v>NO ELEGIDO</v>
      </c>
      <c r="L61" s="19"/>
    </row>
    <row r="62" spans="1:12" x14ac:dyDescent="0.25">
      <c r="A62" s="12" t="str">
        <f t="shared" si="0"/>
        <v>310</v>
      </c>
      <c r="B62" s="12">
        <v>3</v>
      </c>
      <c r="C62" s="12" t="s">
        <v>3</v>
      </c>
      <c r="D62" s="17">
        <v>10</v>
      </c>
      <c r="E62" s="18" t="s">
        <v>68</v>
      </c>
      <c r="F62" s="19" t="s">
        <v>282</v>
      </c>
      <c r="G62" s="25">
        <v>320</v>
      </c>
      <c r="H62" s="16">
        <f>IF(D62=0,0,Tabla2[[#This Row],[VOTOS CANDIDATOS]])</f>
        <v>320</v>
      </c>
      <c r="J62" s="19">
        <f t="shared" si="3"/>
        <v>9888</v>
      </c>
      <c r="K62" s="16" t="str">
        <f>IF(Tabla2[[#This Row],[VOTOS]]&gt;=Tabla2[[#This Row],[K&gt;]],"ELEGIDO","NO ELEGIDO")</f>
        <v>NO ELEGIDO</v>
      </c>
      <c r="L62" s="19"/>
    </row>
    <row r="63" spans="1:12" x14ac:dyDescent="0.25">
      <c r="A63" s="12" t="str">
        <f t="shared" si="0"/>
        <v>311</v>
      </c>
      <c r="B63" s="12">
        <v>3</v>
      </c>
      <c r="C63" s="12" t="s">
        <v>3</v>
      </c>
      <c r="D63" s="17">
        <v>11</v>
      </c>
      <c r="E63" s="18" t="s">
        <v>69</v>
      </c>
      <c r="F63" s="19" t="s">
        <v>281</v>
      </c>
      <c r="G63" s="25">
        <v>100</v>
      </c>
      <c r="H63" s="16">
        <f>IF(D63=0,0,Tabla2[[#This Row],[VOTOS CANDIDATOS]])</f>
        <v>100</v>
      </c>
      <c r="J63" s="19">
        <f t="shared" si="3"/>
        <v>9888</v>
      </c>
      <c r="K63" s="16" t="str">
        <f>IF(Tabla2[[#This Row],[VOTOS]]&gt;=Tabla2[[#This Row],[K&gt;]],"ELEGIDO","NO ELEGIDO")</f>
        <v>NO ELEGIDO</v>
      </c>
      <c r="L63" s="19"/>
    </row>
    <row r="64" spans="1:12" x14ac:dyDescent="0.25">
      <c r="A64" s="12" t="str">
        <f t="shared" si="0"/>
        <v>312</v>
      </c>
      <c r="B64" s="12">
        <v>3</v>
      </c>
      <c r="C64" s="12" t="s">
        <v>3</v>
      </c>
      <c r="D64" s="17">
        <v>12</v>
      </c>
      <c r="E64" s="18" t="s">
        <v>70</v>
      </c>
      <c r="F64" s="19" t="s">
        <v>282</v>
      </c>
      <c r="G64" s="25">
        <v>1100</v>
      </c>
      <c r="H64" s="16">
        <f>IF(D64=0,0,Tabla2[[#This Row],[VOTOS CANDIDATOS]])</f>
        <v>1100</v>
      </c>
      <c r="J64" s="19">
        <f t="shared" si="3"/>
        <v>9888</v>
      </c>
      <c r="K64" s="16" t="str">
        <f>IF(Tabla2[[#This Row],[VOTOS]]&gt;=Tabla2[[#This Row],[K&gt;]],"ELEGIDO","NO ELEGIDO")</f>
        <v>NO ELEGIDO</v>
      </c>
      <c r="L64" s="19"/>
    </row>
    <row r="65" spans="1:12" x14ac:dyDescent="0.25">
      <c r="A65" s="12" t="str">
        <f t="shared" si="0"/>
        <v>313</v>
      </c>
      <c r="B65" s="12">
        <v>3</v>
      </c>
      <c r="C65" s="12" t="s">
        <v>3</v>
      </c>
      <c r="D65" s="17">
        <v>13</v>
      </c>
      <c r="E65" s="18" t="s">
        <v>71</v>
      </c>
      <c r="F65" s="19" t="s">
        <v>282</v>
      </c>
      <c r="G65" s="25">
        <v>2900</v>
      </c>
      <c r="H65" s="16">
        <f>IF(D65=0,0,Tabla2[[#This Row],[VOTOS CANDIDATOS]])</f>
        <v>2900</v>
      </c>
      <c r="J65" s="19">
        <f t="shared" si="3"/>
        <v>9888</v>
      </c>
      <c r="K65" s="16" t="str">
        <f>IF(Tabla2[[#This Row],[VOTOS]]&gt;=Tabla2[[#This Row],[K&gt;]],"ELEGIDO","NO ELEGIDO")</f>
        <v>NO ELEGIDO</v>
      </c>
      <c r="L65" s="19"/>
    </row>
    <row r="66" spans="1:12" x14ac:dyDescent="0.25">
      <c r="A66" s="12" t="str">
        <f t="shared" si="0"/>
        <v>314</v>
      </c>
      <c r="B66" s="12">
        <v>3</v>
      </c>
      <c r="C66" s="12" t="s">
        <v>3</v>
      </c>
      <c r="D66" s="17">
        <v>14</v>
      </c>
      <c r="E66" s="18" t="s">
        <v>72</v>
      </c>
      <c r="F66" s="19" t="s">
        <v>281</v>
      </c>
      <c r="G66" s="25">
        <v>4000</v>
      </c>
      <c r="H66" s="16">
        <f>IF(D66=0,0,Tabla2[[#This Row],[VOTOS CANDIDATOS]])</f>
        <v>4000</v>
      </c>
      <c r="J66" s="19">
        <f t="shared" si="3"/>
        <v>9888</v>
      </c>
      <c r="K66" s="16" t="str">
        <f>IF(Tabla2[[#This Row],[VOTOS]]&gt;=Tabla2[[#This Row],[K&gt;]],"ELEGIDO","NO ELEGIDO")</f>
        <v>NO ELEGIDO</v>
      </c>
      <c r="L66" s="19"/>
    </row>
    <row r="67" spans="1:12" x14ac:dyDescent="0.25">
      <c r="A67" s="12" t="str">
        <f t="shared" si="0"/>
        <v>315</v>
      </c>
      <c r="B67" s="12">
        <v>3</v>
      </c>
      <c r="C67" s="12" t="s">
        <v>3</v>
      </c>
      <c r="D67" s="17">
        <v>15</v>
      </c>
      <c r="E67" s="18" t="s">
        <v>73</v>
      </c>
      <c r="F67" s="19" t="s">
        <v>281</v>
      </c>
      <c r="G67" s="25">
        <v>3</v>
      </c>
      <c r="H67" s="16">
        <f>IF(D67=0,0,Tabla2[[#This Row],[VOTOS CANDIDATOS]])</f>
        <v>3</v>
      </c>
      <c r="J67" s="19">
        <f t="shared" si="3"/>
        <v>9888</v>
      </c>
      <c r="K67" s="16" t="str">
        <f>IF(Tabla2[[#This Row],[VOTOS]]&gt;=Tabla2[[#This Row],[K&gt;]],"ELEGIDO","NO ELEGIDO")</f>
        <v>NO ELEGIDO</v>
      </c>
      <c r="L67" s="19"/>
    </row>
    <row r="68" spans="1:12" x14ac:dyDescent="0.25">
      <c r="A68" s="12" t="str">
        <f t="shared" si="0"/>
        <v>316</v>
      </c>
      <c r="B68" s="12">
        <v>3</v>
      </c>
      <c r="C68" s="12" t="s">
        <v>3</v>
      </c>
      <c r="D68" s="17">
        <v>16</v>
      </c>
      <c r="E68" s="18" t="s">
        <v>74</v>
      </c>
      <c r="F68" s="19" t="s">
        <v>281</v>
      </c>
      <c r="G68" s="25">
        <v>7</v>
      </c>
      <c r="H68" s="16">
        <f>IF(D68=0,0,Tabla2[[#This Row],[VOTOS CANDIDATOS]])</f>
        <v>7</v>
      </c>
      <c r="J68" s="19">
        <f t="shared" si="3"/>
        <v>9888</v>
      </c>
      <c r="K68" s="16" t="str">
        <f>IF(Tabla2[[#This Row],[VOTOS]]&gt;=Tabla2[[#This Row],[K&gt;]],"ELEGIDO","NO ELEGIDO")</f>
        <v>NO ELEGIDO</v>
      </c>
      <c r="L68" s="19"/>
    </row>
    <row r="69" spans="1:12" x14ac:dyDescent="0.25">
      <c r="A69" s="12" t="str">
        <f t="shared" si="0"/>
        <v>317</v>
      </c>
      <c r="B69" s="12">
        <v>3</v>
      </c>
      <c r="C69" s="12" t="s">
        <v>3</v>
      </c>
      <c r="D69" s="17">
        <v>17</v>
      </c>
      <c r="E69" s="18" t="s">
        <v>75</v>
      </c>
      <c r="F69" s="19" t="s">
        <v>282</v>
      </c>
      <c r="G69" s="25">
        <v>25</v>
      </c>
      <c r="H69" s="16">
        <f>IF(D69=0,0,Tabla2[[#This Row],[VOTOS CANDIDATOS]])</f>
        <v>25</v>
      </c>
      <c r="J69" s="19">
        <f t="shared" si="3"/>
        <v>9888</v>
      </c>
      <c r="K69" s="16" t="str">
        <f>IF(Tabla2[[#This Row],[VOTOS]]&gt;=Tabla2[[#This Row],[K&gt;]],"ELEGIDO","NO ELEGIDO")</f>
        <v>NO ELEGIDO</v>
      </c>
      <c r="L69" s="19"/>
    </row>
    <row r="70" spans="1:12" x14ac:dyDescent="0.25">
      <c r="A70" s="12" t="str">
        <f t="shared" si="0"/>
        <v>318</v>
      </c>
      <c r="B70" s="12">
        <v>3</v>
      </c>
      <c r="C70" s="12" t="s">
        <v>3</v>
      </c>
      <c r="D70" s="17">
        <v>18</v>
      </c>
      <c r="E70" s="18" t="s">
        <v>76</v>
      </c>
      <c r="F70" s="19" t="s">
        <v>281</v>
      </c>
      <c r="G70" s="25">
        <v>44</v>
      </c>
      <c r="H70" s="16">
        <f>IF(D70=0,0,Tabla2[[#This Row],[VOTOS CANDIDATOS]])</f>
        <v>44</v>
      </c>
      <c r="J70" s="19">
        <f t="shared" si="3"/>
        <v>9888</v>
      </c>
      <c r="K70" s="16" t="str">
        <f>IF(Tabla2[[#This Row],[VOTOS]]&gt;=Tabla2[[#This Row],[K&gt;]],"ELEGIDO","NO ELEGIDO")</f>
        <v>NO ELEGIDO</v>
      </c>
      <c r="L70" s="19"/>
    </row>
    <row r="71" spans="1:12" x14ac:dyDescent="0.25">
      <c r="A71" s="12" t="str">
        <f t="shared" si="0"/>
        <v>319</v>
      </c>
      <c r="B71" s="12">
        <v>3</v>
      </c>
      <c r="C71" s="12" t="s">
        <v>3</v>
      </c>
      <c r="D71" s="17">
        <v>19</v>
      </c>
      <c r="E71" s="18" t="s">
        <v>77</v>
      </c>
      <c r="F71" s="19" t="s">
        <v>282</v>
      </c>
      <c r="G71" s="25">
        <v>99</v>
      </c>
      <c r="H71" s="16">
        <f>IF(D71=0,0,Tabla2[[#This Row],[VOTOS CANDIDATOS]])</f>
        <v>99</v>
      </c>
      <c r="J71" s="19">
        <f t="shared" si="3"/>
        <v>9888</v>
      </c>
      <c r="K71" s="16" t="str">
        <f>IF(Tabla2[[#This Row],[VOTOS]]&gt;=Tabla2[[#This Row],[K&gt;]],"ELEGIDO","NO ELEGIDO")</f>
        <v>NO ELEGIDO</v>
      </c>
      <c r="L71" s="19"/>
    </row>
    <row r="72" spans="1:12" x14ac:dyDescent="0.25">
      <c r="A72" s="12" t="str">
        <f t="shared" si="0"/>
        <v>320</v>
      </c>
      <c r="B72" s="12">
        <v>3</v>
      </c>
      <c r="C72" s="12" t="s">
        <v>3</v>
      </c>
      <c r="D72" s="17">
        <v>20</v>
      </c>
      <c r="E72" s="18" t="s">
        <v>78</v>
      </c>
      <c r="F72" s="19" t="s">
        <v>282</v>
      </c>
      <c r="G72" s="25">
        <v>822</v>
      </c>
      <c r="H72" s="16">
        <f>IF(D72=0,0,Tabla2[[#This Row],[VOTOS CANDIDATOS]])</f>
        <v>822</v>
      </c>
      <c r="J72" s="19">
        <f t="shared" si="3"/>
        <v>9888</v>
      </c>
      <c r="K72" s="16" t="str">
        <f>IF(Tabla2[[#This Row],[VOTOS]]&gt;=Tabla2[[#This Row],[K&gt;]],"ELEGIDO","NO ELEGIDO")</f>
        <v>NO ELEGIDO</v>
      </c>
      <c r="L72" s="19"/>
    </row>
    <row r="73" spans="1:12" x14ac:dyDescent="0.25">
      <c r="A73" s="12" t="str">
        <f t="shared" ref="A73:A136" si="4">CONCATENATE(B73,D73)</f>
        <v>321</v>
      </c>
      <c r="B73" s="12">
        <v>3</v>
      </c>
      <c r="C73" s="12" t="s">
        <v>3</v>
      </c>
      <c r="D73" s="17">
        <v>21</v>
      </c>
      <c r="E73" s="18" t="s">
        <v>79</v>
      </c>
      <c r="F73" s="19" t="s">
        <v>281</v>
      </c>
      <c r="G73" s="25">
        <v>1000</v>
      </c>
      <c r="H73" s="16">
        <f>IF(D73=0,0,Tabla2[[#This Row],[VOTOS CANDIDATOS]])</f>
        <v>1000</v>
      </c>
      <c r="J73" s="19">
        <f t="shared" si="3"/>
        <v>9888</v>
      </c>
      <c r="K73" s="16" t="str">
        <f>IF(Tabla2[[#This Row],[VOTOS]]&gt;=Tabla2[[#This Row],[K&gt;]],"ELEGIDO","NO ELEGIDO")</f>
        <v>NO ELEGIDO</v>
      </c>
      <c r="L73" s="19"/>
    </row>
    <row r="74" spans="1:12" s="1" customFormat="1" ht="18.75" x14ac:dyDescent="0.3">
      <c r="A74" s="12" t="str">
        <f t="shared" si="4"/>
        <v>40</v>
      </c>
      <c r="B74" s="12">
        <v>4</v>
      </c>
      <c r="C74" s="12" t="s">
        <v>4</v>
      </c>
      <c r="D74" s="20">
        <v>0</v>
      </c>
      <c r="E74" s="16" t="s">
        <v>4</v>
      </c>
      <c r="F74" s="19"/>
      <c r="G74" s="42">
        <f>PARTIDO_LIBERAL_COLOMBIANO-SUM(G75:G95)</f>
        <v>64023</v>
      </c>
      <c r="H74" s="16">
        <f>IF(D74=0,0,Tabla2[[#This Row],[VOTOS CANDIDATOS]])</f>
        <v>0</v>
      </c>
      <c r="I74" s="22">
        <f>CIFCAL!AC5</f>
        <v>5</v>
      </c>
      <c r="J74" s="16">
        <f>LARGE(H74:H95,Tabla2[[#This Row],[CURULES]])</f>
        <v>2690</v>
      </c>
      <c r="K74" s="16"/>
      <c r="L74" s="16"/>
    </row>
    <row r="75" spans="1:12" x14ac:dyDescent="0.25">
      <c r="A75" s="12" t="str">
        <f t="shared" si="4"/>
        <v>41</v>
      </c>
      <c r="B75" s="12">
        <v>4</v>
      </c>
      <c r="C75" s="12" t="s">
        <v>4</v>
      </c>
      <c r="D75" s="17">
        <v>1</v>
      </c>
      <c r="E75" s="18" t="s">
        <v>80</v>
      </c>
      <c r="F75" s="19" t="s">
        <v>282</v>
      </c>
      <c r="G75" s="25">
        <v>12500</v>
      </c>
      <c r="H75" s="16">
        <f>IF(D75=0,0,Tabla2[[#This Row],[VOTOS CANDIDATOS]])</f>
        <v>12500</v>
      </c>
      <c r="J75" s="19">
        <f>J74</f>
        <v>2690</v>
      </c>
      <c r="K75" s="16" t="str">
        <f>IF(Tabla2[[#This Row],[VOTOS]]&gt;=Tabla2[[#This Row],[K&gt;]],"ELEGIDO","NO ELEGIDO")</f>
        <v>ELEGIDO</v>
      </c>
      <c r="L75" s="19"/>
    </row>
    <row r="76" spans="1:12" x14ac:dyDescent="0.25">
      <c r="A76" s="12" t="str">
        <f t="shared" si="4"/>
        <v>42</v>
      </c>
      <c r="B76" s="12">
        <v>4</v>
      </c>
      <c r="C76" s="12" t="s">
        <v>4</v>
      </c>
      <c r="D76" s="17">
        <v>2</v>
      </c>
      <c r="E76" s="18" t="s">
        <v>81</v>
      </c>
      <c r="F76" s="19" t="s">
        <v>281</v>
      </c>
      <c r="G76" s="25">
        <v>2690</v>
      </c>
      <c r="H76" s="16">
        <f>IF(D76=0,0,Tabla2[[#This Row],[VOTOS CANDIDATOS]])</f>
        <v>2690</v>
      </c>
      <c r="J76" s="19">
        <f t="shared" ref="J76:J95" si="5">J75</f>
        <v>2690</v>
      </c>
      <c r="K76" s="16" t="str">
        <f>IF(Tabla2[[#This Row],[VOTOS]]&gt;=Tabla2[[#This Row],[K&gt;]],"ELEGIDO","NO ELEGIDO")</f>
        <v>ELEGIDO</v>
      </c>
      <c r="L76" s="19"/>
    </row>
    <row r="77" spans="1:12" x14ac:dyDescent="0.25">
      <c r="A77" s="12" t="str">
        <f t="shared" si="4"/>
        <v>43</v>
      </c>
      <c r="B77" s="12">
        <v>4</v>
      </c>
      <c r="C77" s="12" t="s">
        <v>4</v>
      </c>
      <c r="D77" s="17">
        <v>3</v>
      </c>
      <c r="E77" s="18" t="s">
        <v>82</v>
      </c>
      <c r="F77" s="19" t="s">
        <v>281</v>
      </c>
      <c r="G77" s="25">
        <v>1369</v>
      </c>
      <c r="H77" s="16">
        <f>IF(D77=0,0,Tabla2[[#This Row],[VOTOS CANDIDATOS]])</f>
        <v>1369</v>
      </c>
      <c r="J77" s="19">
        <f t="shared" si="5"/>
        <v>2690</v>
      </c>
      <c r="K77" s="16" t="str">
        <f>IF(Tabla2[[#This Row],[VOTOS]]&gt;=Tabla2[[#This Row],[K&gt;]],"ELEGIDO","NO ELEGIDO")</f>
        <v>NO ELEGIDO</v>
      </c>
      <c r="L77" s="19"/>
    </row>
    <row r="78" spans="1:12" x14ac:dyDescent="0.25">
      <c r="A78" s="12" t="str">
        <f t="shared" si="4"/>
        <v>44</v>
      </c>
      <c r="B78" s="12">
        <v>4</v>
      </c>
      <c r="C78" s="12" t="s">
        <v>4</v>
      </c>
      <c r="D78" s="17">
        <v>4</v>
      </c>
      <c r="E78" s="18" t="s">
        <v>83</v>
      </c>
      <c r="F78" s="19" t="s">
        <v>281</v>
      </c>
      <c r="G78" s="25">
        <v>5988</v>
      </c>
      <c r="H78" s="16">
        <f>IF(D78=0,0,Tabla2[[#This Row],[VOTOS CANDIDATOS]])</f>
        <v>5988</v>
      </c>
      <c r="J78" s="19">
        <f t="shared" si="5"/>
        <v>2690</v>
      </c>
      <c r="K78" s="16" t="str">
        <f>IF(Tabla2[[#This Row],[VOTOS]]&gt;=Tabla2[[#This Row],[K&gt;]],"ELEGIDO","NO ELEGIDO")</f>
        <v>ELEGIDO</v>
      </c>
      <c r="L78" s="19"/>
    </row>
    <row r="79" spans="1:12" x14ac:dyDescent="0.25">
      <c r="A79" s="12" t="str">
        <f t="shared" si="4"/>
        <v>45</v>
      </c>
      <c r="B79" s="12">
        <v>4</v>
      </c>
      <c r="C79" s="12" t="s">
        <v>4</v>
      </c>
      <c r="D79" s="17">
        <v>5</v>
      </c>
      <c r="E79" s="18" t="s">
        <v>84</v>
      </c>
      <c r="F79" s="19" t="s">
        <v>281</v>
      </c>
      <c r="G79" s="25">
        <v>12456</v>
      </c>
      <c r="H79" s="16">
        <f>IF(D79=0,0,Tabla2[[#This Row],[VOTOS CANDIDATOS]])</f>
        <v>12456</v>
      </c>
      <c r="J79" s="19">
        <f t="shared" si="5"/>
        <v>2690</v>
      </c>
      <c r="K79" s="16" t="str">
        <f>IF(Tabla2[[#This Row],[VOTOS]]&gt;=Tabla2[[#This Row],[K&gt;]],"ELEGIDO","NO ELEGIDO")</f>
        <v>ELEGIDO</v>
      </c>
      <c r="L79" s="19"/>
    </row>
    <row r="80" spans="1:12" x14ac:dyDescent="0.25">
      <c r="A80" s="12" t="str">
        <f t="shared" si="4"/>
        <v>46</v>
      </c>
      <c r="B80" s="12">
        <v>4</v>
      </c>
      <c r="C80" s="12" t="s">
        <v>4</v>
      </c>
      <c r="D80" s="17">
        <v>6</v>
      </c>
      <c r="E80" s="18" t="s">
        <v>85</v>
      </c>
      <c r="F80" s="19" t="s">
        <v>282</v>
      </c>
      <c r="G80" s="25">
        <v>98</v>
      </c>
      <c r="H80" s="16">
        <f>IF(D80=0,0,Tabla2[[#This Row],[VOTOS CANDIDATOS]])</f>
        <v>98</v>
      </c>
      <c r="J80" s="19">
        <f t="shared" si="5"/>
        <v>2690</v>
      </c>
      <c r="K80" s="16" t="str">
        <f>IF(Tabla2[[#This Row],[VOTOS]]&gt;=Tabla2[[#This Row],[K&gt;]],"ELEGIDO","NO ELEGIDO")</f>
        <v>NO ELEGIDO</v>
      </c>
      <c r="L80" s="19"/>
    </row>
    <row r="81" spans="1:12" x14ac:dyDescent="0.25">
      <c r="A81" s="12" t="str">
        <f t="shared" si="4"/>
        <v>47</v>
      </c>
      <c r="B81" s="12">
        <v>4</v>
      </c>
      <c r="C81" s="12" t="s">
        <v>4</v>
      </c>
      <c r="D81" s="17">
        <v>7</v>
      </c>
      <c r="E81" s="18" t="s">
        <v>86</v>
      </c>
      <c r="F81" s="19" t="s">
        <v>281</v>
      </c>
      <c r="G81" s="25">
        <v>156</v>
      </c>
      <c r="H81" s="16">
        <f>IF(D81=0,0,Tabla2[[#This Row],[VOTOS CANDIDATOS]])</f>
        <v>156</v>
      </c>
      <c r="J81" s="19">
        <f t="shared" si="5"/>
        <v>2690</v>
      </c>
      <c r="K81" s="16" t="str">
        <f>IF(Tabla2[[#This Row],[VOTOS]]&gt;=Tabla2[[#This Row],[K&gt;]],"ELEGIDO","NO ELEGIDO")</f>
        <v>NO ELEGIDO</v>
      </c>
      <c r="L81" s="19"/>
    </row>
    <row r="82" spans="1:12" x14ac:dyDescent="0.25">
      <c r="A82" s="12" t="str">
        <f t="shared" si="4"/>
        <v>48</v>
      </c>
      <c r="B82" s="12">
        <v>4</v>
      </c>
      <c r="C82" s="12" t="s">
        <v>4</v>
      </c>
      <c r="D82" s="17">
        <v>8</v>
      </c>
      <c r="E82" s="18" t="s">
        <v>87</v>
      </c>
      <c r="F82" s="19" t="s">
        <v>281</v>
      </c>
      <c r="G82" s="25">
        <v>145</v>
      </c>
      <c r="H82" s="16">
        <f>IF(D82=0,0,Tabla2[[#This Row],[VOTOS CANDIDATOS]])</f>
        <v>145</v>
      </c>
      <c r="J82" s="19">
        <f t="shared" si="5"/>
        <v>2690</v>
      </c>
      <c r="K82" s="16" t="str">
        <f>IF(Tabla2[[#This Row],[VOTOS]]&gt;=Tabla2[[#This Row],[K&gt;]],"ELEGIDO","NO ELEGIDO")</f>
        <v>NO ELEGIDO</v>
      </c>
      <c r="L82" s="19"/>
    </row>
    <row r="83" spans="1:12" x14ac:dyDescent="0.25">
      <c r="A83" s="12" t="str">
        <f t="shared" si="4"/>
        <v>49</v>
      </c>
      <c r="B83" s="12">
        <v>4</v>
      </c>
      <c r="C83" s="12" t="s">
        <v>4</v>
      </c>
      <c r="D83" s="17">
        <v>9</v>
      </c>
      <c r="E83" s="18" t="s">
        <v>88</v>
      </c>
      <c r="F83" s="19" t="s">
        <v>282</v>
      </c>
      <c r="G83" s="25">
        <v>693</v>
      </c>
      <c r="H83" s="16">
        <f>IF(D83=0,0,Tabla2[[#This Row],[VOTOS CANDIDATOS]])</f>
        <v>693</v>
      </c>
      <c r="J83" s="19">
        <f t="shared" si="5"/>
        <v>2690</v>
      </c>
      <c r="K83" s="16" t="str">
        <f>IF(Tabla2[[#This Row],[VOTOS]]&gt;=Tabla2[[#This Row],[K&gt;]],"ELEGIDO","NO ELEGIDO")</f>
        <v>NO ELEGIDO</v>
      </c>
      <c r="L83" s="19"/>
    </row>
    <row r="84" spans="1:12" x14ac:dyDescent="0.25">
      <c r="A84" s="12" t="str">
        <f t="shared" si="4"/>
        <v>410</v>
      </c>
      <c r="B84" s="12">
        <v>4</v>
      </c>
      <c r="C84" s="12" t="s">
        <v>4</v>
      </c>
      <c r="D84" s="17">
        <v>10</v>
      </c>
      <c r="E84" s="18" t="s">
        <v>89</v>
      </c>
      <c r="F84" s="19" t="s">
        <v>281</v>
      </c>
      <c r="G84" s="25">
        <v>55</v>
      </c>
      <c r="H84" s="16">
        <f>IF(D84=0,0,Tabla2[[#This Row],[VOTOS CANDIDATOS]])</f>
        <v>55</v>
      </c>
      <c r="J84" s="19">
        <f t="shared" si="5"/>
        <v>2690</v>
      </c>
      <c r="K84" s="16" t="str">
        <f>IF(Tabla2[[#This Row],[VOTOS]]&gt;=Tabla2[[#This Row],[K&gt;]],"ELEGIDO","NO ELEGIDO")</f>
        <v>NO ELEGIDO</v>
      </c>
      <c r="L84" s="19"/>
    </row>
    <row r="85" spans="1:12" x14ac:dyDescent="0.25">
      <c r="A85" s="12" t="str">
        <f t="shared" si="4"/>
        <v>411</v>
      </c>
      <c r="B85" s="12">
        <v>4</v>
      </c>
      <c r="C85" s="12" t="s">
        <v>4</v>
      </c>
      <c r="D85" s="17">
        <v>11</v>
      </c>
      <c r="E85" s="18" t="s">
        <v>90</v>
      </c>
      <c r="F85" s="19" t="s">
        <v>282</v>
      </c>
      <c r="G85" s="25">
        <v>989</v>
      </c>
      <c r="H85" s="16">
        <f>IF(D85=0,0,Tabla2[[#This Row],[VOTOS CANDIDATOS]])</f>
        <v>989</v>
      </c>
      <c r="J85" s="19">
        <f t="shared" si="5"/>
        <v>2690</v>
      </c>
      <c r="K85" s="16" t="str">
        <f>IF(Tabla2[[#This Row],[VOTOS]]&gt;=Tabla2[[#This Row],[K&gt;]],"ELEGIDO","NO ELEGIDO")</f>
        <v>NO ELEGIDO</v>
      </c>
      <c r="L85" s="19"/>
    </row>
    <row r="86" spans="1:12" x14ac:dyDescent="0.25">
      <c r="A86" s="12" t="str">
        <f t="shared" si="4"/>
        <v>412</v>
      </c>
      <c r="B86" s="12">
        <v>4</v>
      </c>
      <c r="C86" s="12" t="s">
        <v>4</v>
      </c>
      <c r="D86" s="17">
        <v>12</v>
      </c>
      <c r="E86" s="18" t="s">
        <v>91</v>
      </c>
      <c r="F86" s="19" t="s">
        <v>282</v>
      </c>
      <c r="G86" s="25">
        <v>598</v>
      </c>
      <c r="H86" s="16">
        <f>IF(D86=0,0,Tabla2[[#This Row],[VOTOS CANDIDATOS]])</f>
        <v>598</v>
      </c>
      <c r="J86" s="19">
        <f t="shared" si="5"/>
        <v>2690</v>
      </c>
      <c r="K86" s="16" t="str">
        <f>IF(Tabla2[[#This Row],[VOTOS]]&gt;=Tabla2[[#This Row],[K&gt;]],"ELEGIDO","NO ELEGIDO")</f>
        <v>NO ELEGIDO</v>
      </c>
      <c r="L86" s="19"/>
    </row>
    <row r="87" spans="1:12" x14ac:dyDescent="0.25">
      <c r="A87" s="12" t="str">
        <f t="shared" si="4"/>
        <v>413</v>
      </c>
      <c r="B87" s="12">
        <v>4</v>
      </c>
      <c r="C87" s="12" t="s">
        <v>4</v>
      </c>
      <c r="D87" s="17">
        <v>13</v>
      </c>
      <c r="E87" s="18" t="s">
        <v>92</v>
      </c>
      <c r="F87" s="19" t="s">
        <v>282</v>
      </c>
      <c r="G87" s="25">
        <v>100</v>
      </c>
      <c r="H87" s="16">
        <f>IF(D87=0,0,Tabla2[[#This Row],[VOTOS CANDIDATOS]])</f>
        <v>100</v>
      </c>
      <c r="J87" s="19">
        <f t="shared" si="5"/>
        <v>2690</v>
      </c>
      <c r="K87" s="16" t="str">
        <f>IF(Tabla2[[#This Row],[VOTOS]]&gt;=Tabla2[[#This Row],[K&gt;]],"ELEGIDO","NO ELEGIDO")</f>
        <v>NO ELEGIDO</v>
      </c>
      <c r="L87" s="19"/>
    </row>
    <row r="88" spans="1:12" x14ac:dyDescent="0.25">
      <c r="A88" s="12" t="str">
        <f t="shared" si="4"/>
        <v>414</v>
      </c>
      <c r="B88" s="12">
        <v>4</v>
      </c>
      <c r="C88" s="12" t="s">
        <v>4</v>
      </c>
      <c r="D88" s="17">
        <v>14</v>
      </c>
      <c r="E88" s="18" t="s">
        <v>93</v>
      </c>
      <c r="F88" s="19" t="s">
        <v>281</v>
      </c>
      <c r="G88" s="25">
        <v>900</v>
      </c>
      <c r="H88" s="16">
        <f>IF(D88=0,0,Tabla2[[#This Row],[VOTOS CANDIDATOS]])</f>
        <v>900</v>
      </c>
      <c r="J88" s="19">
        <f t="shared" si="5"/>
        <v>2690</v>
      </c>
      <c r="K88" s="16" t="str">
        <f>IF(Tabla2[[#This Row],[VOTOS]]&gt;=Tabla2[[#This Row],[K&gt;]],"ELEGIDO","NO ELEGIDO")</f>
        <v>NO ELEGIDO</v>
      </c>
      <c r="L88" s="19"/>
    </row>
    <row r="89" spans="1:12" x14ac:dyDescent="0.25">
      <c r="A89" s="12" t="str">
        <f t="shared" si="4"/>
        <v>415</v>
      </c>
      <c r="B89" s="12">
        <v>4</v>
      </c>
      <c r="C89" s="12" t="s">
        <v>4</v>
      </c>
      <c r="D89" s="17">
        <v>15</v>
      </c>
      <c r="E89" s="18" t="s">
        <v>94</v>
      </c>
      <c r="F89" s="19" t="s">
        <v>281</v>
      </c>
      <c r="G89" s="25">
        <v>1366</v>
      </c>
      <c r="H89" s="16">
        <f>IF(D89=0,0,Tabla2[[#This Row],[VOTOS CANDIDATOS]])</f>
        <v>1366</v>
      </c>
      <c r="J89" s="19">
        <f t="shared" si="5"/>
        <v>2690</v>
      </c>
      <c r="K89" s="16" t="str">
        <f>IF(Tabla2[[#This Row],[VOTOS]]&gt;=Tabla2[[#This Row],[K&gt;]],"ELEGIDO","NO ELEGIDO")</f>
        <v>NO ELEGIDO</v>
      </c>
      <c r="L89" s="19"/>
    </row>
    <row r="90" spans="1:12" x14ac:dyDescent="0.25">
      <c r="A90" s="12" t="str">
        <f t="shared" si="4"/>
        <v>416</v>
      </c>
      <c r="B90" s="12">
        <v>4</v>
      </c>
      <c r="C90" s="12" t="s">
        <v>4</v>
      </c>
      <c r="D90" s="17">
        <v>16</v>
      </c>
      <c r="E90" s="18" t="s">
        <v>95</v>
      </c>
      <c r="F90" s="19" t="s">
        <v>282</v>
      </c>
      <c r="G90" s="25">
        <v>644</v>
      </c>
      <c r="H90" s="16">
        <f>IF(D90=0,0,Tabla2[[#This Row],[VOTOS CANDIDATOS]])</f>
        <v>644</v>
      </c>
      <c r="J90" s="19">
        <f t="shared" si="5"/>
        <v>2690</v>
      </c>
      <c r="K90" s="16" t="str">
        <f>IF(Tabla2[[#This Row],[VOTOS]]&gt;=Tabla2[[#This Row],[K&gt;]],"ELEGIDO","NO ELEGIDO")</f>
        <v>NO ELEGIDO</v>
      </c>
      <c r="L90" s="19"/>
    </row>
    <row r="91" spans="1:12" x14ac:dyDescent="0.25">
      <c r="A91" s="12" t="str">
        <f t="shared" si="4"/>
        <v>417</v>
      </c>
      <c r="B91" s="12">
        <v>4</v>
      </c>
      <c r="C91" s="12" t="s">
        <v>4</v>
      </c>
      <c r="D91" s="17">
        <v>17</v>
      </c>
      <c r="E91" s="18" t="s">
        <v>96</v>
      </c>
      <c r="F91" s="19" t="s">
        <v>281</v>
      </c>
      <c r="G91" s="25">
        <v>10</v>
      </c>
      <c r="H91" s="16">
        <f>IF(D91=0,0,Tabla2[[#This Row],[VOTOS CANDIDATOS]])</f>
        <v>10</v>
      </c>
      <c r="J91" s="19">
        <f t="shared" si="5"/>
        <v>2690</v>
      </c>
      <c r="K91" s="16" t="str">
        <f>IF(Tabla2[[#This Row],[VOTOS]]&gt;=Tabla2[[#This Row],[K&gt;]],"ELEGIDO","NO ELEGIDO")</f>
        <v>NO ELEGIDO</v>
      </c>
      <c r="L91" s="19"/>
    </row>
    <row r="92" spans="1:12" x14ac:dyDescent="0.25">
      <c r="A92" s="12" t="str">
        <f t="shared" si="4"/>
        <v>418</v>
      </c>
      <c r="B92" s="12">
        <v>4</v>
      </c>
      <c r="C92" s="12" t="s">
        <v>4</v>
      </c>
      <c r="D92" s="17">
        <v>18</v>
      </c>
      <c r="E92" s="18" t="s">
        <v>97</v>
      </c>
      <c r="F92" s="19" t="s">
        <v>281</v>
      </c>
      <c r="G92" s="25">
        <v>90</v>
      </c>
      <c r="H92" s="16">
        <f>IF(D92=0,0,Tabla2[[#This Row],[VOTOS CANDIDATOS]])</f>
        <v>90</v>
      </c>
      <c r="J92" s="19">
        <f t="shared" si="5"/>
        <v>2690</v>
      </c>
      <c r="K92" s="16" t="str">
        <f>IF(Tabla2[[#This Row],[VOTOS]]&gt;=Tabla2[[#This Row],[K&gt;]],"ELEGIDO","NO ELEGIDO")</f>
        <v>NO ELEGIDO</v>
      </c>
      <c r="L92" s="19"/>
    </row>
    <row r="93" spans="1:12" x14ac:dyDescent="0.25">
      <c r="A93" s="12" t="str">
        <f t="shared" si="4"/>
        <v>419</v>
      </c>
      <c r="B93" s="12">
        <v>4</v>
      </c>
      <c r="C93" s="12" t="s">
        <v>4</v>
      </c>
      <c r="D93" s="17">
        <v>19</v>
      </c>
      <c r="E93" s="18" t="s">
        <v>98</v>
      </c>
      <c r="F93" s="19" t="s">
        <v>281</v>
      </c>
      <c r="G93" s="25">
        <v>789</v>
      </c>
      <c r="H93" s="16">
        <f>IF(D93=0,0,Tabla2[[#This Row],[VOTOS CANDIDATOS]])</f>
        <v>789</v>
      </c>
      <c r="J93" s="19">
        <f t="shared" si="5"/>
        <v>2690</v>
      </c>
      <c r="K93" s="16" t="str">
        <f>IF(Tabla2[[#This Row],[VOTOS]]&gt;=Tabla2[[#This Row],[K&gt;]],"ELEGIDO","NO ELEGIDO")</f>
        <v>NO ELEGIDO</v>
      </c>
      <c r="L93" s="19"/>
    </row>
    <row r="94" spans="1:12" x14ac:dyDescent="0.25">
      <c r="A94" s="12" t="str">
        <f t="shared" si="4"/>
        <v>420</v>
      </c>
      <c r="B94" s="12">
        <v>4</v>
      </c>
      <c r="C94" s="12" t="s">
        <v>4</v>
      </c>
      <c r="D94" s="17">
        <v>20</v>
      </c>
      <c r="E94" s="18" t="s">
        <v>99</v>
      </c>
      <c r="F94" s="19" t="s">
        <v>281</v>
      </c>
      <c r="G94" s="25">
        <v>101</v>
      </c>
      <c r="H94" s="16">
        <f>IF(D94=0,0,Tabla2[[#This Row],[VOTOS CANDIDATOS]])</f>
        <v>101</v>
      </c>
      <c r="J94" s="19">
        <f t="shared" si="5"/>
        <v>2690</v>
      </c>
      <c r="K94" s="16" t="str">
        <f>IF(Tabla2[[#This Row],[VOTOS]]&gt;=Tabla2[[#This Row],[K&gt;]],"ELEGIDO","NO ELEGIDO")</f>
        <v>NO ELEGIDO</v>
      </c>
      <c r="L94" s="19"/>
    </row>
    <row r="95" spans="1:12" x14ac:dyDescent="0.25">
      <c r="A95" s="12" t="str">
        <f t="shared" si="4"/>
        <v>421</v>
      </c>
      <c r="B95" s="12">
        <v>4</v>
      </c>
      <c r="C95" s="12" t="s">
        <v>4</v>
      </c>
      <c r="D95" s="17">
        <v>21</v>
      </c>
      <c r="E95" s="18" t="s">
        <v>100</v>
      </c>
      <c r="F95" s="19" t="s">
        <v>281</v>
      </c>
      <c r="G95" s="25">
        <v>6000</v>
      </c>
      <c r="H95" s="16">
        <f>IF(D95=0,0,Tabla2[[#This Row],[VOTOS CANDIDATOS]])</f>
        <v>6000</v>
      </c>
      <c r="J95" s="19">
        <f t="shared" si="5"/>
        <v>2690</v>
      </c>
      <c r="K95" s="16" t="str">
        <f>IF(Tabla2[[#This Row],[VOTOS]]&gt;=Tabla2[[#This Row],[K&gt;]],"ELEGIDO","NO ELEGIDO")</f>
        <v>ELEGIDO</v>
      </c>
      <c r="L95" s="19"/>
    </row>
    <row r="96" spans="1:12" s="1" customFormat="1" ht="18.75" x14ac:dyDescent="0.3">
      <c r="A96" s="12" t="str">
        <f t="shared" si="4"/>
        <v>50</v>
      </c>
      <c r="B96" s="12">
        <v>5</v>
      </c>
      <c r="C96" s="12" t="s">
        <v>5</v>
      </c>
      <c r="D96" s="20">
        <v>0</v>
      </c>
      <c r="E96" s="16" t="s">
        <v>5</v>
      </c>
      <c r="F96" s="19"/>
      <c r="G96" s="42">
        <f>PARTIDO_UNION_PATRIOTICA_UP</f>
        <v>2277</v>
      </c>
      <c r="H96" s="16">
        <f>IF(D96=0,0,Tabla2[[#This Row],[VOTOS CANDIDATOS]])</f>
        <v>0</v>
      </c>
      <c r="I96" s="22">
        <f>CIFCAL!AC6</f>
        <v>0</v>
      </c>
      <c r="J96" s="16"/>
      <c r="K96" s="16"/>
      <c r="L96" s="16"/>
    </row>
    <row r="97" spans="1:12" x14ac:dyDescent="0.25">
      <c r="A97" s="12" t="str">
        <f t="shared" si="4"/>
        <v>51</v>
      </c>
      <c r="B97" s="12">
        <v>5</v>
      </c>
      <c r="C97" s="12" t="s">
        <v>5</v>
      </c>
      <c r="D97" s="17">
        <v>1</v>
      </c>
      <c r="E97" s="18" t="s">
        <v>101</v>
      </c>
      <c r="F97" s="19" t="s">
        <v>282</v>
      </c>
      <c r="G97" s="25">
        <v>0</v>
      </c>
      <c r="H97" s="16">
        <f>IF(D97=0,0,Tabla2[[#This Row],[VOTOS CANDIDATOS]])</f>
        <v>0</v>
      </c>
      <c r="K97" s="19" t="str">
        <f>IF(I96&gt;=1,"ELEGIDO","NO ELEGIDO")</f>
        <v>NO ELEGIDO</v>
      </c>
      <c r="L97" s="19"/>
    </row>
    <row r="98" spans="1:12" x14ac:dyDescent="0.25">
      <c r="A98" s="12" t="str">
        <f t="shared" si="4"/>
        <v>52</v>
      </c>
      <c r="B98" s="12">
        <v>5</v>
      </c>
      <c r="C98" s="12" t="s">
        <v>5</v>
      </c>
      <c r="D98" s="17">
        <v>2</v>
      </c>
      <c r="E98" s="18" t="s">
        <v>102</v>
      </c>
      <c r="F98" s="19" t="s">
        <v>281</v>
      </c>
      <c r="G98" s="25">
        <v>0</v>
      </c>
      <c r="H98" s="16">
        <f>IF(D98=0,0,Tabla2[[#This Row],[VOTOS CANDIDATOS]])</f>
        <v>0</v>
      </c>
      <c r="K98" s="19" t="str">
        <f>IF(I96&gt;=2,"ELEGIDO","NO ELEGIDO")</f>
        <v>NO ELEGIDO</v>
      </c>
      <c r="L98" s="19"/>
    </row>
    <row r="99" spans="1:12" x14ac:dyDescent="0.25">
      <c r="A99" s="12" t="str">
        <f t="shared" si="4"/>
        <v>53</v>
      </c>
      <c r="B99" s="12">
        <v>5</v>
      </c>
      <c r="C99" s="12" t="s">
        <v>5</v>
      </c>
      <c r="D99" s="17">
        <v>3</v>
      </c>
      <c r="E99" s="18" t="s">
        <v>103</v>
      </c>
      <c r="F99" s="19" t="s">
        <v>282</v>
      </c>
      <c r="G99" s="25">
        <v>0</v>
      </c>
      <c r="H99" s="16">
        <f>IF(D99=0,0,Tabla2[[#This Row],[VOTOS CANDIDATOS]])</f>
        <v>0</v>
      </c>
      <c r="K99" s="19" t="str">
        <f>IF(I96&gt;=3,"ELEGIDO","NO ELEGIDO")</f>
        <v>NO ELEGIDO</v>
      </c>
      <c r="L99" s="19"/>
    </row>
    <row r="100" spans="1:12" x14ac:dyDescent="0.25">
      <c r="A100" s="12" t="str">
        <f t="shared" si="4"/>
        <v>54</v>
      </c>
      <c r="B100" s="12">
        <v>5</v>
      </c>
      <c r="C100" s="12" t="s">
        <v>5</v>
      </c>
      <c r="D100" s="17">
        <v>4</v>
      </c>
      <c r="E100" s="18" t="s">
        <v>104</v>
      </c>
      <c r="F100" s="19" t="s">
        <v>282</v>
      </c>
      <c r="G100" s="25">
        <v>0</v>
      </c>
      <c r="H100" s="16">
        <f>IF(D100=0,0,Tabla2[[#This Row],[VOTOS CANDIDATOS]])</f>
        <v>0</v>
      </c>
      <c r="K100" s="19" t="str">
        <f>IF(I96&gt;=4,"ELEGIDO","NO ELEGIDO")</f>
        <v>NO ELEGIDO</v>
      </c>
      <c r="L100" s="19"/>
    </row>
    <row r="101" spans="1:12" x14ac:dyDescent="0.25">
      <c r="A101" s="12" t="str">
        <f t="shared" si="4"/>
        <v>55</v>
      </c>
      <c r="B101" s="12">
        <v>5</v>
      </c>
      <c r="C101" s="12" t="s">
        <v>5</v>
      </c>
      <c r="D101" s="17">
        <v>5</v>
      </c>
      <c r="E101" s="18" t="s">
        <v>105</v>
      </c>
      <c r="F101" s="19" t="s">
        <v>281</v>
      </c>
      <c r="G101" s="25">
        <v>0</v>
      </c>
      <c r="H101" s="16">
        <f>IF(D101=0,0,Tabla2[[#This Row],[VOTOS CANDIDATOS]])</f>
        <v>0</v>
      </c>
      <c r="K101" s="19" t="str">
        <f>IF(I96&gt;=5,"ELEGIDO","NO ELEGIDO")</f>
        <v>NO ELEGIDO</v>
      </c>
      <c r="L101" s="19"/>
    </row>
    <row r="102" spans="1:12" x14ac:dyDescent="0.25">
      <c r="A102" s="12" t="str">
        <f t="shared" si="4"/>
        <v>56</v>
      </c>
      <c r="B102" s="12">
        <v>5</v>
      </c>
      <c r="C102" s="12" t="s">
        <v>5</v>
      </c>
      <c r="D102" s="17">
        <v>6</v>
      </c>
      <c r="E102" s="18" t="s">
        <v>106</v>
      </c>
      <c r="F102" s="19" t="s">
        <v>281</v>
      </c>
      <c r="G102" s="25">
        <v>0</v>
      </c>
      <c r="H102" s="16">
        <f>IF(D102=0,0,Tabla2[[#This Row],[VOTOS CANDIDATOS]])</f>
        <v>0</v>
      </c>
      <c r="K102" s="19" t="str">
        <f>IF(I96&gt;=6,"ELEGIDO","NO ELEGIDO")</f>
        <v>NO ELEGIDO</v>
      </c>
      <c r="L102" s="19"/>
    </row>
    <row r="103" spans="1:12" x14ac:dyDescent="0.25">
      <c r="A103" s="12" t="str">
        <f t="shared" si="4"/>
        <v>57</v>
      </c>
      <c r="B103" s="12">
        <v>5</v>
      </c>
      <c r="C103" s="12" t="s">
        <v>5</v>
      </c>
      <c r="D103" s="17">
        <v>7</v>
      </c>
      <c r="E103" s="18" t="s">
        <v>107</v>
      </c>
      <c r="F103" s="19" t="s">
        <v>282</v>
      </c>
      <c r="G103" s="25">
        <v>0</v>
      </c>
      <c r="H103" s="16">
        <f>IF(D103=0,0,Tabla2[[#This Row],[VOTOS CANDIDATOS]])</f>
        <v>0</v>
      </c>
      <c r="K103" s="19" t="str">
        <f>IF(I96&gt;=7,"ELEGIDO","NO ELEGIDO")</f>
        <v>NO ELEGIDO</v>
      </c>
      <c r="L103" s="19"/>
    </row>
    <row r="104" spans="1:12" s="1" customFormat="1" ht="18.75" x14ac:dyDescent="0.3">
      <c r="A104" s="12" t="str">
        <f t="shared" si="4"/>
        <v>60</v>
      </c>
      <c r="B104" s="12">
        <v>6</v>
      </c>
      <c r="C104" s="12" t="s">
        <v>6</v>
      </c>
      <c r="D104" s="20">
        <v>0</v>
      </c>
      <c r="E104" s="16" t="s">
        <v>6</v>
      </c>
      <c r="F104" s="19"/>
      <c r="G104" s="42">
        <f>PARTIDO_CAMBIO_RADICAL-SUM(G105:G125)</f>
        <v>34521</v>
      </c>
      <c r="H104" s="16">
        <f>IF(D104=0,0,Tabla2[[#This Row],[VOTOS CANDIDATOS]])</f>
        <v>0</v>
      </c>
      <c r="I104" s="22">
        <f>CIFCAL!AC7</f>
        <v>4</v>
      </c>
      <c r="J104" s="16">
        <f>LARGE(H104:H125,Tabla2[[#This Row],[CURULES]])</f>
        <v>5988</v>
      </c>
      <c r="K104" s="16"/>
      <c r="L104" s="16"/>
    </row>
    <row r="105" spans="1:12" x14ac:dyDescent="0.25">
      <c r="A105" s="12" t="str">
        <f t="shared" si="4"/>
        <v>61</v>
      </c>
      <c r="B105" s="12">
        <v>6</v>
      </c>
      <c r="C105" s="12" t="s">
        <v>6</v>
      </c>
      <c r="D105" s="17">
        <v>1</v>
      </c>
      <c r="E105" s="18" t="s">
        <v>108</v>
      </c>
      <c r="F105" s="19" t="s">
        <v>281</v>
      </c>
      <c r="G105" s="25">
        <v>13600</v>
      </c>
      <c r="H105" s="16">
        <f>IF(D105=0,0,Tabla2[[#This Row],[VOTOS CANDIDATOS]])</f>
        <v>13600</v>
      </c>
      <c r="J105" s="19">
        <f>J104</f>
        <v>5988</v>
      </c>
      <c r="K105" s="16" t="str">
        <f>IF(Tabla2[[#This Row],[VOTOS]]&gt;=Tabla2[[#This Row],[K&gt;]],"ELEGIDO","NO ELEGIDO")</f>
        <v>ELEGIDO</v>
      </c>
      <c r="L105" s="19"/>
    </row>
    <row r="106" spans="1:12" x14ac:dyDescent="0.25">
      <c r="A106" s="12" t="str">
        <f t="shared" si="4"/>
        <v>62</v>
      </c>
      <c r="B106" s="12">
        <v>6</v>
      </c>
      <c r="C106" s="12" t="s">
        <v>6</v>
      </c>
      <c r="D106" s="17">
        <v>2</v>
      </c>
      <c r="E106" s="18" t="s">
        <v>109</v>
      </c>
      <c r="F106" s="19" t="s">
        <v>282</v>
      </c>
      <c r="G106" s="25">
        <v>9689</v>
      </c>
      <c r="H106" s="16">
        <f>IF(D106=0,0,Tabla2[[#This Row],[VOTOS CANDIDATOS]])</f>
        <v>9689</v>
      </c>
      <c r="J106" s="19">
        <f t="shared" ref="J106:J125" si="6">J105</f>
        <v>5988</v>
      </c>
      <c r="K106" s="16" t="str">
        <f>IF(Tabla2[[#This Row],[VOTOS]]&gt;=Tabla2[[#This Row],[K&gt;]],"ELEGIDO","NO ELEGIDO")</f>
        <v>ELEGIDO</v>
      </c>
      <c r="L106" s="19"/>
    </row>
    <row r="107" spans="1:12" x14ac:dyDescent="0.25">
      <c r="A107" s="12" t="str">
        <f t="shared" si="4"/>
        <v>63</v>
      </c>
      <c r="B107" s="12">
        <v>6</v>
      </c>
      <c r="C107" s="12" t="s">
        <v>6</v>
      </c>
      <c r="D107" s="17">
        <v>3</v>
      </c>
      <c r="E107" s="18" t="s">
        <v>110</v>
      </c>
      <c r="F107" s="19" t="s">
        <v>281</v>
      </c>
      <c r="G107" s="25">
        <v>5988</v>
      </c>
      <c r="H107" s="16">
        <f>IF(D107=0,0,Tabla2[[#This Row],[VOTOS CANDIDATOS]])</f>
        <v>5988</v>
      </c>
      <c r="J107" s="19">
        <f t="shared" si="6"/>
        <v>5988</v>
      </c>
      <c r="K107" s="16" t="str">
        <f>IF(Tabla2[[#This Row],[VOTOS]]&gt;=Tabla2[[#This Row],[K&gt;]],"ELEGIDO","NO ELEGIDO")</f>
        <v>ELEGIDO</v>
      </c>
      <c r="L107" s="19"/>
    </row>
    <row r="108" spans="1:12" x14ac:dyDescent="0.25">
      <c r="A108" s="12" t="str">
        <f t="shared" si="4"/>
        <v>64</v>
      </c>
      <c r="B108" s="12">
        <v>6</v>
      </c>
      <c r="C108" s="12" t="s">
        <v>6</v>
      </c>
      <c r="D108" s="17">
        <v>4</v>
      </c>
      <c r="E108" s="18" t="s">
        <v>111</v>
      </c>
      <c r="F108" s="19" t="s">
        <v>282</v>
      </c>
      <c r="G108" s="25">
        <v>1423</v>
      </c>
      <c r="H108" s="16">
        <f>IF(D108=0,0,Tabla2[[#This Row],[VOTOS CANDIDATOS]])</f>
        <v>1423</v>
      </c>
      <c r="J108" s="19">
        <f t="shared" si="6"/>
        <v>5988</v>
      </c>
      <c r="K108" s="16" t="str">
        <f>IF(Tabla2[[#This Row],[VOTOS]]&gt;=Tabla2[[#This Row],[K&gt;]],"ELEGIDO","NO ELEGIDO")</f>
        <v>NO ELEGIDO</v>
      </c>
      <c r="L108" s="19"/>
    </row>
    <row r="109" spans="1:12" x14ac:dyDescent="0.25">
      <c r="A109" s="12" t="str">
        <f t="shared" si="4"/>
        <v>65</v>
      </c>
      <c r="B109" s="12">
        <v>6</v>
      </c>
      <c r="C109" s="12" t="s">
        <v>6</v>
      </c>
      <c r="D109" s="17">
        <v>5</v>
      </c>
      <c r="E109" s="18" t="s">
        <v>112</v>
      </c>
      <c r="F109" s="19" t="s">
        <v>281</v>
      </c>
      <c r="G109" s="25">
        <v>460</v>
      </c>
      <c r="H109" s="16">
        <f>IF(D109=0,0,Tabla2[[#This Row],[VOTOS CANDIDATOS]])</f>
        <v>460</v>
      </c>
      <c r="J109" s="19">
        <f t="shared" si="6"/>
        <v>5988</v>
      </c>
      <c r="K109" s="16" t="str">
        <f>IF(Tabla2[[#This Row],[VOTOS]]&gt;=Tabla2[[#This Row],[K&gt;]],"ELEGIDO","NO ELEGIDO")</f>
        <v>NO ELEGIDO</v>
      </c>
      <c r="L109" s="19"/>
    </row>
    <row r="110" spans="1:12" x14ac:dyDescent="0.25">
      <c r="A110" s="12" t="str">
        <f t="shared" si="4"/>
        <v>66</v>
      </c>
      <c r="B110" s="12">
        <v>6</v>
      </c>
      <c r="C110" s="12" t="s">
        <v>6</v>
      </c>
      <c r="D110" s="17">
        <v>6</v>
      </c>
      <c r="E110" s="18" t="s">
        <v>113</v>
      </c>
      <c r="F110" s="19" t="s">
        <v>282</v>
      </c>
      <c r="G110" s="25">
        <v>2500</v>
      </c>
      <c r="H110" s="16">
        <f>IF(D110=0,0,Tabla2[[#This Row],[VOTOS CANDIDATOS]])</f>
        <v>2500</v>
      </c>
      <c r="J110" s="19">
        <f t="shared" si="6"/>
        <v>5988</v>
      </c>
      <c r="K110" s="16" t="str">
        <f>IF(Tabla2[[#This Row],[VOTOS]]&gt;=Tabla2[[#This Row],[K&gt;]],"ELEGIDO","NO ELEGIDO")</f>
        <v>NO ELEGIDO</v>
      </c>
      <c r="L110" s="19"/>
    </row>
    <row r="111" spans="1:12" x14ac:dyDescent="0.25">
      <c r="A111" s="12" t="str">
        <f t="shared" si="4"/>
        <v>67</v>
      </c>
      <c r="B111" s="12">
        <v>6</v>
      </c>
      <c r="C111" s="12" t="s">
        <v>6</v>
      </c>
      <c r="D111" s="17">
        <v>7</v>
      </c>
      <c r="E111" s="18" t="s">
        <v>114</v>
      </c>
      <c r="F111" s="19" t="s">
        <v>281</v>
      </c>
      <c r="G111" s="25">
        <v>5400</v>
      </c>
      <c r="H111" s="16">
        <f>IF(D111=0,0,Tabla2[[#This Row],[VOTOS CANDIDATOS]])</f>
        <v>5400</v>
      </c>
      <c r="J111" s="19">
        <f t="shared" si="6"/>
        <v>5988</v>
      </c>
      <c r="K111" s="16" t="str">
        <f>IF(Tabla2[[#This Row],[VOTOS]]&gt;=Tabla2[[#This Row],[K&gt;]],"ELEGIDO","NO ELEGIDO")</f>
        <v>NO ELEGIDO</v>
      </c>
      <c r="L111" s="19"/>
    </row>
    <row r="112" spans="1:12" x14ac:dyDescent="0.25">
      <c r="A112" s="12" t="str">
        <f t="shared" si="4"/>
        <v>68</v>
      </c>
      <c r="B112" s="12">
        <v>6</v>
      </c>
      <c r="C112" s="12" t="s">
        <v>6</v>
      </c>
      <c r="D112" s="17">
        <v>8</v>
      </c>
      <c r="E112" s="18" t="s">
        <v>115</v>
      </c>
      <c r="F112" s="19" t="s">
        <v>281</v>
      </c>
      <c r="G112" s="25">
        <v>11</v>
      </c>
      <c r="H112" s="16">
        <f>IF(D112=0,0,Tabla2[[#This Row],[VOTOS CANDIDATOS]])</f>
        <v>11</v>
      </c>
      <c r="J112" s="19">
        <f t="shared" si="6"/>
        <v>5988</v>
      </c>
      <c r="K112" s="16" t="str">
        <f>IF(Tabla2[[#This Row],[VOTOS]]&gt;=Tabla2[[#This Row],[K&gt;]],"ELEGIDO","NO ELEGIDO")</f>
        <v>NO ELEGIDO</v>
      </c>
      <c r="L112" s="19"/>
    </row>
    <row r="113" spans="1:12" x14ac:dyDescent="0.25">
      <c r="A113" s="12" t="str">
        <f t="shared" si="4"/>
        <v>69</v>
      </c>
      <c r="B113" s="12">
        <v>6</v>
      </c>
      <c r="C113" s="12" t="s">
        <v>6</v>
      </c>
      <c r="D113" s="17">
        <v>9</v>
      </c>
      <c r="E113" s="18" t="s">
        <v>116</v>
      </c>
      <c r="F113" s="19" t="s">
        <v>281</v>
      </c>
      <c r="G113" s="25">
        <v>450</v>
      </c>
      <c r="H113" s="16">
        <f>IF(D113=0,0,Tabla2[[#This Row],[VOTOS CANDIDATOS]])</f>
        <v>450</v>
      </c>
      <c r="J113" s="19">
        <f t="shared" si="6"/>
        <v>5988</v>
      </c>
      <c r="K113" s="16" t="str">
        <f>IF(Tabla2[[#This Row],[VOTOS]]&gt;=Tabla2[[#This Row],[K&gt;]],"ELEGIDO","NO ELEGIDO")</f>
        <v>NO ELEGIDO</v>
      </c>
      <c r="L113" s="19"/>
    </row>
    <row r="114" spans="1:12" x14ac:dyDescent="0.25">
      <c r="A114" s="12" t="str">
        <f t="shared" si="4"/>
        <v>610</v>
      </c>
      <c r="B114" s="12">
        <v>6</v>
      </c>
      <c r="C114" s="12" t="s">
        <v>6</v>
      </c>
      <c r="D114" s="17">
        <v>10</v>
      </c>
      <c r="E114" s="18" t="s">
        <v>117</v>
      </c>
      <c r="F114" s="19" t="s">
        <v>281</v>
      </c>
      <c r="G114" s="25">
        <v>99</v>
      </c>
      <c r="H114" s="16">
        <f>IF(D114=0,0,Tabla2[[#This Row],[VOTOS CANDIDATOS]])</f>
        <v>99</v>
      </c>
      <c r="J114" s="19">
        <f t="shared" si="6"/>
        <v>5988</v>
      </c>
      <c r="K114" s="16" t="str">
        <f>IF(Tabla2[[#This Row],[VOTOS]]&gt;=Tabla2[[#This Row],[K&gt;]],"ELEGIDO","NO ELEGIDO")</f>
        <v>NO ELEGIDO</v>
      </c>
      <c r="L114" s="19"/>
    </row>
    <row r="115" spans="1:12" x14ac:dyDescent="0.25">
      <c r="A115" s="12" t="str">
        <f t="shared" si="4"/>
        <v>611</v>
      </c>
      <c r="B115" s="12">
        <v>6</v>
      </c>
      <c r="C115" s="12" t="s">
        <v>6</v>
      </c>
      <c r="D115" s="17">
        <v>11</v>
      </c>
      <c r="E115" s="18" t="s">
        <v>118</v>
      </c>
      <c r="F115" s="19" t="s">
        <v>282</v>
      </c>
      <c r="G115" s="25">
        <v>990</v>
      </c>
      <c r="H115" s="16">
        <f>IF(D115=0,0,Tabla2[[#This Row],[VOTOS CANDIDATOS]])</f>
        <v>990</v>
      </c>
      <c r="J115" s="19">
        <f t="shared" si="6"/>
        <v>5988</v>
      </c>
      <c r="K115" s="16" t="str">
        <f>IF(Tabla2[[#This Row],[VOTOS]]&gt;=Tabla2[[#This Row],[K&gt;]],"ELEGIDO","NO ELEGIDO")</f>
        <v>NO ELEGIDO</v>
      </c>
      <c r="L115" s="19"/>
    </row>
    <row r="116" spans="1:12" x14ac:dyDescent="0.25">
      <c r="A116" s="12" t="str">
        <f t="shared" si="4"/>
        <v>612</v>
      </c>
      <c r="B116" s="12">
        <v>6</v>
      </c>
      <c r="C116" s="12" t="s">
        <v>6</v>
      </c>
      <c r="D116" s="17">
        <v>12</v>
      </c>
      <c r="E116" s="18" t="s">
        <v>119</v>
      </c>
      <c r="F116" s="19" t="s">
        <v>281</v>
      </c>
      <c r="G116" s="25">
        <v>778</v>
      </c>
      <c r="H116" s="16">
        <f>IF(D116=0,0,Tabla2[[#This Row],[VOTOS CANDIDATOS]])</f>
        <v>778</v>
      </c>
      <c r="J116" s="19">
        <f t="shared" si="6"/>
        <v>5988</v>
      </c>
      <c r="K116" s="16" t="str">
        <f>IF(Tabla2[[#This Row],[VOTOS]]&gt;=Tabla2[[#This Row],[K&gt;]],"ELEGIDO","NO ELEGIDO")</f>
        <v>NO ELEGIDO</v>
      </c>
      <c r="L116" s="19"/>
    </row>
    <row r="117" spans="1:12" x14ac:dyDescent="0.25">
      <c r="A117" s="12" t="str">
        <f t="shared" si="4"/>
        <v>613</v>
      </c>
      <c r="B117" s="12">
        <v>6</v>
      </c>
      <c r="C117" s="12" t="s">
        <v>6</v>
      </c>
      <c r="D117" s="17">
        <v>13</v>
      </c>
      <c r="E117" s="18" t="s">
        <v>120</v>
      </c>
      <c r="F117" s="19" t="s">
        <v>281</v>
      </c>
      <c r="G117" s="25">
        <v>8974</v>
      </c>
      <c r="H117" s="16">
        <f>IF(D117=0,0,Tabla2[[#This Row],[VOTOS CANDIDATOS]])</f>
        <v>8974</v>
      </c>
      <c r="J117" s="19">
        <f t="shared" si="6"/>
        <v>5988</v>
      </c>
      <c r="K117" s="16" t="str">
        <f>IF(Tabla2[[#This Row],[VOTOS]]&gt;=Tabla2[[#This Row],[K&gt;]],"ELEGIDO","NO ELEGIDO")</f>
        <v>ELEGIDO</v>
      </c>
      <c r="L117" s="19"/>
    </row>
    <row r="118" spans="1:12" x14ac:dyDescent="0.25">
      <c r="A118" s="12" t="str">
        <f t="shared" si="4"/>
        <v>614</v>
      </c>
      <c r="B118" s="12">
        <v>6</v>
      </c>
      <c r="C118" s="12" t="s">
        <v>6</v>
      </c>
      <c r="D118" s="17">
        <v>14</v>
      </c>
      <c r="E118" s="18" t="s">
        <v>121</v>
      </c>
      <c r="F118" s="19" t="s">
        <v>282</v>
      </c>
      <c r="G118" s="25">
        <v>1400</v>
      </c>
      <c r="H118" s="16">
        <f>IF(D118=0,0,Tabla2[[#This Row],[VOTOS CANDIDATOS]])</f>
        <v>1400</v>
      </c>
      <c r="J118" s="19">
        <f t="shared" si="6"/>
        <v>5988</v>
      </c>
      <c r="K118" s="16" t="str">
        <f>IF(Tabla2[[#This Row],[VOTOS]]&gt;=Tabla2[[#This Row],[K&gt;]],"ELEGIDO","NO ELEGIDO")</f>
        <v>NO ELEGIDO</v>
      </c>
      <c r="L118" s="19"/>
    </row>
    <row r="119" spans="1:12" x14ac:dyDescent="0.25">
      <c r="A119" s="12" t="str">
        <f t="shared" si="4"/>
        <v>615</v>
      </c>
      <c r="B119" s="12">
        <v>6</v>
      </c>
      <c r="C119" s="12" t="s">
        <v>6</v>
      </c>
      <c r="D119" s="17">
        <v>15</v>
      </c>
      <c r="E119" s="18" t="s">
        <v>122</v>
      </c>
      <c r="F119" s="19" t="s">
        <v>282</v>
      </c>
      <c r="G119" s="25">
        <v>5000</v>
      </c>
      <c r="H119" s="16">
        <f>IF(D119=0,0,Tabla2[[#This Row],[VOTOS CANDIDATOS]])</f>
        <v>5000</v>
      </c>
      <c r="J119" s="19">
        <f t="shared" si="6"/>
        <v>5988</v>
      </c>
      <c r="K119" s="16" t="str">
        <f>IF(Tabla2[[#This Row],[VOTOS]]&gt;=Tabla2[[#This Row],[K&gt;]],"ELEGIDO","NO ELEGIDO")</f>
        <v>NO ELEGIDO</v>
      </c>
      <c r="L119" s="19"/>
    </row>
    <row r="120" spans="1:12" x14ac:dyDescent="0.25">
      <c r="A120" s="12" t="str">
        <f t="shared" si="4"/>
        <v>616</v>
      </c>
      <c r="B120" s="12">
        <v>6</v>
      </c>
      <c r="C120" s="12" t="s">
        <v>6</v>
      </c>
      <c r="D120" s="17">
        <v>16</v>
      </c>
      <c r="E120" s="18" t="s">
        <v>123</v>
      </c>
      <c r="F120" s="19" t="s">
        <v>282</v>
      </c>
      <c r="G120" s="25">
        <v>12</v>
      </c>
      <c r="H120" s="16">
        <f>IF(D120=0,0,Tabla2[[#This Row],[VOTOS CANDIDATOS]])</f>
        <v>12</v>
      </c>
      <c r="J120" s="19">
        <f t="shared" si="6"/>
        <v>5988</v>
      </c>
      <c r="K120" s="16" t="str">
        <f>IF(Tabla2[[#This Row],[VOTOS]]&gt;=Tabla2[[#This Row],[K&gt;]],"ELEGIDO","NO ELEGIDO")</f>
        <v>NO ELEGIDO</v>
      </c>
      <c r="L120" s="19"/>
    </row>
    <row r="121" spans="1:12" x14ac:dyDescent="0.25">
      <c r="A121" s="12" t="str">
        <f t="shared" si="4"/>
        <v>617</v>
      </c>
      <c r="B121" s="12">
        <v>6</v>
      </c>
      <c r="C121" s="12" t="s">
        <v>6</v>
      </c>
      <c r="D121" s="17">
        <v>17</v>
      </c>
      <c r="E121" s="18" t="s">
        <v>124</v>
      </c>
      <c r="F121" s="19" t="s">
        <v>281</v>
      </c>
      <c r="G121" s="25">
        <v>987</v>
      </c>
      <c r="H121" s="16">
        <f>IF(D121=0,0,Tabla2[[#This Row],[VOTOS CANDIDATOS]])</f>
        <v>987</v>
      </c>
      <c r="J121" s="19">
        <f t="shared" si="6"/>
        <v>5988</v>
      </c>
      <c r="K121" s="16" t="str">
        <f>IF(Tabla2[[#This Row],[VOTOS]]&gt;=Tabla2[[#This Row],[K&gt;]],"ELEGIDO","NO ELEGIDO")</f>
        <v>NO ELEGIDO</v>
      </c>
      <c r="L121" s="19"/>
    </row>
    <row r="122" spans="1:12" x14ac:dyDescent="0.25">
      <c r="A122" s="12" t="str">
        <f t="shared" si="4"/>
        <v>618</v>
      </c>
      <c r="B122" s="12">
        <v>6</v>
      </c>
      <c r="C122" s="12" t="s">
        <v>6</v>
      </c>
      <c r="D122" s="17">
        <v>18</v>
      </c>
      <c r="E122" s="18" t="s">
        <v>125</v>
      </c>
      <c r="F122" s="19" t="s">
        <v>282</v>
      </c>
      <c r="G122" s="25">
        <v>14</v>
      </c>
      <c r="H122" s="16">
        <f>IF(D122=0,0,Tabla2[[#This Row],[VOTOS CANDIDATOS]])</f>
        <v>14</v>
      </c>
      <c r="J122" s="19">
        <f t="shared" si="6"/>
        <v>5988</v>
      </c>
      <c r="K122" s="16" t="str">
        <f>IF(Tabla2[[#This Row],[VOTOS]]&gt;=Tabla2[[#This Row],[K&gt;]],"ELEGIDO","NO ELEGIDO")</f>
        <v>NO ELEGIDO</v>
      </c>
      <c r="L122" s="19"/>
    </row>
    <row r="123" spans="1:12" x14ac:dyDescent="0.25">
      <c r="A123" s="12" t="str">
        <f t="shared" si="4"/>
        <v>619</v>
      </c>
      <c r="B123" s="12">
        <v>6</v>
      </c>
      <c r="C123" s="12" t="s">
        <v>6</v>
      </c>
      <c r="D123" s="17">
        <v>19</v>
      </c>
      <c r="E123" s="18" t="s">
        <v>126</v>
      </c>
      <c r="F123" s="19" t="s">
        <v>282</v>
      </c>
      <c r="G123" s="25">
        <v>389</v>
      </c>
      <c r="H123" s="16">
        <f>IF(D123=0,0,Tabla2[[#This Row],[VOTOS CANDIDATOS]])</f>
        <v>389</v>
      </c>
      <c r="J123" s="19">
        <f t="shared" si="6"/>
        <v>5988</v>
      </c>
      <c r="K123" s="16" t="str">
        <f>IF(Tabla2[[#This Row],[VOTOS]]&gt;=Tabla2[[#This Row],[K&gt;]],"ELEGIDO","NO ELEGIDO")</f>
        <v>NO ELEGIDO</v>
      </c>
      <c r="L123" s="19"/>
    </row>
    <row r="124" spans="1:12" x14ac:dyDescent="0.25">
      <c r="A124" s="12" t="str">
        <f t="shared" si="4"/>
        <v>620</v>
      </c>
      <c r="B124" s="12">
        <v>6</v>
      </c>
      <c r="C124" s="12" t="s">
        <v>6</v>
      </c>
      <c r="D124" s="17">
        <v>20</v>
      </c>
      <c r="E124" s="18" t="s">
        <v>127</v>
      </c>
      <c r="F124" s="19" t="s">
        <v>281</v>
      </c>
      <c r="G124" s="25">
        <v>5</v>
      </c>
      <c r="H124" s="16">
        <f>IF(D124=0,0,Tabla2[[#This Row],[VOTOS CANDIDATOS]])</f>
        <v>5</v>
      </c>
      <c r="J124" s="19">
        <f t="shared" si="6"/>
        <v>5988</v>
      </c>
      <c r="K124" s="16" t="str">
        <f>IF(Tabla2[[#This Row],[VOTOS]]&gt;=Tabla2[[#This Row],[K&gt;]],"ELEGIDO","NO ELEGIDO")</f>
        <v>NO ELEGIDO</v>
      </c>
      <c r="L124" s="19"/>
    </row>
    <row r="125" spans="1:12" x14ac:dyDescent="0.25">
      <c r="A125" s="12" t="str">
        <f t="shared" si="4"/>
        <v>621</v>
      </c>
      <c r="B125" s="12">
        <v>6</v>
      </c>
      <c r="C125" s="12" t="s">
        <v>6</v>
      </c>
      <c r="D125" s="17">
        <v>21</v>
      </c>
      <c r="E125" s="18" t="s">
        <v>128</v>
      </c>
      <c r="F125" s="19" t="s">
        <v>282</v>
      </c>
      <c r="G125" s="25">
        <v>1100</v>
      </c>
      <c r="H125" s="16">
        <f>IF(D125=0,0,Tabla2[[#This Row],[VOTOS CANDIDATOS]])</f>
        <v>1100</v>
      </c>
      <c r="J125" s="19">
        <f t="shared" si="6"/>
        <v>5988</v>
      </c>
      <c r="K125" s="16" t="str">
        <f>IF(Tabla2[[#This Row],[VOTOS]]&gt;=Tabla2[[#This Row],[K&gt;]],"ELEGIDO","NO ELEGIDO")</f>
        <v>NO ELEGIDO</v>
      </c>
      <c r="L125" s="19"/>
    </row>
    <row r="126" spans="1:12" s="1" customFormat="1" ht="18.75" x14ac:dyDescent="0.3">
      <c r="A126" s="12" t="str">
        <f t="shared" si="4"/>
        <v>70</v>
      </c>
      <c r="B126" s="12">
        <v>7</v>
      </c>
      <c r="C126" s="12" t="s">
        <v>7</v>
      </c>
      <c r="D126" s="20">
        <v>0</v>
      </c>
      <c r="E126" s="16" t="s">
        <v>7</v>
      </c>
      <c r="F126" s="19"/>
      <c r="G126" s="42">
        <f>PARTIDO_CENTRO_DEMOCRATICO</f>
        <v>33823</v>
      </c>
      <c r="H126" s="16">
        <f>IF(D126=0,0,Tabla2[[#This Row],[VOTOS CANDIDATOS]])</f>
        <v>0</v>
      </c>
      <c r="I126" s="22">
        <f>CIFCAL!AC8</f>
        <v>1</v>
      </c>
      <c r="J126" s="16"/>
      <c r="K126" s="16"/>
      <c r="L126" s="16"/>
    </row>
    <row r="127" spans="1:12" x14ac:dyDescent="0.25">
      <c r="A127" s="12" t="str">
        <f t="shared" si="4"/>
        <v>71</v>
      </c>
      <c r="B127" s="12">
        <v>7</v>
      </c>
      <c r="C127" s="12" t="s">
        <v>7</v>
      </c>
      <c r="D127" s="17">
        <v>1</v>
      </c>
      <c r="E127" s="18" t="s">
        <v>129</v>
      </c>
      <c r="F127" s="19" t="s">
        <v>281</v>
      </c>
      <c r="G127" s="25">
        <v>0</v>
      </c>
      <c r="H127" s="16">
        <f>IF(D127=0,0,Tabla2[[#This Row],[VOTOS CANDIDATOS]])</f>
        <v>0</v>
      </c>
      <c r="K127" s="19" t="str">
        <f>IF(I126&gt;=1,"ELEGIDO","NO ELEGIDO")</f>
        <v>ELEGIDO</v>
      </c>
      <c r="L127" s="19"/>
    </row>
    <row r="128" spans="1:12" x14ac:dyDescent="0.25">
      <c r="A128" s="12" t="str">
        <f t="shared" si="4"/>
        <v>72</v>
      </c>
      <c r="B128" s="12">
        <v>7</v>
      </c>
      <c r="C128" s="12" t="s">
        <v>7</v>
      </c>
      <c r="D128" s="17">
        <v>2</v>
      </c>
      <c r="E128" s="18" t="s">
        <v>130</v>
      </c>
      <c r="F128" s="19" t="s">
        <v>281</v>
      </c>
      <c r="G128" s="25">
        <v>0</v>
      </c>
      <c r="H128" s="16">
        <f>IF(D128=0,0,Tabla2[[#This Row],[VOTOS CANDIDATOS]])</f>
        <v>0</v>
      </c>
      <c r="K128" s="19" t="str">
        <f>IF(I126&gt;=2,"ELEGIDO","NO ELEGIDO")</f>
        <v>NO ELEGIDO</v>
      </c>
      <c r="L128" s="19"/>
    </row>
    <row r="129" spans="1:12" x14ac:dyDescent="0.25">
      <c r="A129" s="12" t="str">
        <f t="shared" si="4"/>
        <v>73</v>
      </c>
      <c r="B129" s="12">
        <v>7</v>
      </c>
      <c r="C129" s="12" t="s">
        <v>7</v>
      </c>
      <c r="D129" s="17">
        <v>3</v>
      </c>
      <c r="E129" s="18" t="s">
        <v>131</v>
      </c>
      <c r="F129" s="19" t="s">
        <v>281</v>
      </c>
      <c r="G129" s="25">
        <v>0</v>
      </c>
      <c r="H129" s="16">
        <f>IF(D129=0,0,Tabla2[[#This Row],[VOTOS CANDIDATOS]])</f>
        <v>0</v>
      </c>
      <c r="K129" s="19" t="str">
        <f>IF(I126&gt;=3,"ELEGIDO","NO ELEGIDO")</f>
        <v>NO ELEGIDO</v>
      </c>
      <c r="L129" s="19"/>
    </row>
    <row r="130" spans="1:12" x14ac:dyDescent="0.25">
      <c r="A130" s="12" t="str">
        <f t="shared" si="4"/>
        <v>74</v>
      </c>
      <c r="B130" s="12">
        <v>7</v>
      </c>
      <c r="C130" s="12" t="s">
        <v>7</v>
      </c>
      <c r="D130" s="17">
        <v>4</v>
      </c>
      <c r="E130" s="18" t="s">
        <v>132</v>
      </c>
      <c r="F130" s="19" t="s">
        <v>282</v>
      </c>
      <c r="G130" s="25">
        <v>0</v>
      </c>
      <c r="H130" s="16">
        <f>IF(D130=0,0,Tabla2[[#This Row],[VOTOS CANDIDATOS]])</f>
        <v>0</v>
      </c>
      <c r="K130" s="19" t="str">
        <f>IF(I126&gt;=4,"ELEGIDO","NO ELEGIDO")</f>
        <v>NO ELEGIDO</v>
      </c>
      <c r="L130" s="19"/>
    </row>
    <row r="131" spans="1:12" x14ac:dyDescent="0.25">
      <c r="A131" s="12" t="str">
        <f t="shared" si="4"/>
        <v>75</v>
      </c>
      <c r="B131" s="12">
        <v>7</v>
      </c>
      <c r="C131" s="12" t="s">
        <v>7</v>
      </c>
      <c r="D131" s="17">
        <v>5</v>
      </c>
      <c r="E131" s="18" t="s">
        <v>133</v>
      </c>
      <c r="F131" s="19" t="s">
        <v>281</v>
      </c>
      <c r="G131" s="25">
        <v>0</v>
      </c>
      <c r="H131" s="16">
        <f>IF(D131=0,0,Tabla2[[#This Row],[VOTOS CANDIDATOS]])</f>
        <v>0</v>
      </c>
      <c r="K131" s="19" t="str">
        <f>IF(I126&gt;=5,"ELEGIDO","NO ELEGIDO")</f>
        <v>NO ELEGIDO</v>
      </c>
      <c r="L131" s="19"/>
    </row>
    <row r="132" spans="1:12" x14ac:dyDescent="0.25">
      <c r="A132" s="12" t="str">
        <f t="shared" si="4"/>
        <v>76</v>
      </c>
      <c r="B132" s="12">
        <v>7</v>
      </c>
      <c r="C132" s="12" t="s">
        <v>7</v>
      </c>
      <c r="D132" s="17">
        <v>6</v>
      </c>
      <c r="E132" s="18" t="s">
        <v>134</v>
      </c>
      <c r="F132" s="19" t="s">
        <v>281</v>
      </c>
      <c r="G132" s="25">
        <v>0</v>
      </c>
      <c r="H132" s="16">
        <f>IF(D132=0,0,Tabla2[[#This Row],[VOTOS CANDIDATOS]])</f>
        <v>0</v>
      </c>
      <c r="K132" s="19" t="str">
        <f>IF(I126&gt;=6,"ELEGIDO","NO ELEGIDO")</f>
        <v>NO ELEGIDO</v>
      </c>
      <c r="L132" s="19"/>
    </row>
    <row r="133" spans="1:12" x14ac:dyDescent="0.25">
      <c r="A133" s="12" t="str">
        <f t="shared" si="4"/>
        <v>77</v>
      </c>
      <c r="B133" s="12">
        <v>7</v>
      </c>
      <c r="C133" s="12" t="s">
        <v>7</v>
      </c>
      <c r="D133" s="17">
        <v>7</v>
      </c>
      <c r="E133" s="18" t="s">
        <v>135</v>
      </c>
      <c r="F133" s="19" t="s">
        <v>282</v>
      </c>
      <c r="G133" s="25">
        <v>0</v>
      </c>
      <c r="H133" s="16">
        <f>IF(D133=0,0,Tabla2[[#This Row],[VOTOS CANDIDATOS]])</f>
        <v>0</v>
      </c>
      <c r="K133" s="19" t="str">
        <f>IF(I126&gt;=7,"ELEGIDO","NO ELEGIDO")</f>
        <v>NO ELEGIDO</v>
      </c>
      <c r="L133" s="19"/>
    </row>
    <row r="134" spans="1:12" x14ac:dyDescent="0.25">
      <c r="A134" s="12" t="str">
        <f t="shared" si="4"/>
        <v>78</v>
      </c>
      <c r="B134" s="12">
        <v>7</v>
      </c>
      <c r="C134" s="12" t="s">
        <v>7</v>
      </c>
      <c r="D134" s="17">
        <v>8</v>
      </c>
      <c r="E134" s="18" t="s">
        <v>136</v>
      </c>
      <c r="F134" s="19" t="s">
        <v>281</v>
      </c>
      <c r="G134" s="25">
        <v>0</v>
      </c>
      <c r="H134" s="16">
        <f>IF(D134=0,0,Tabla2[[#This Row],[VOTOS CANDIDATOS]])</f>
        <v>0</v>
      </c>
      <c r="K134" s="19" t="str">
        <f>IF(I126&gt;=8,"ELEGIDO","NO ELEGIDO")</f>
        <v>NO ELEGIDO</v>
      </c>
      <c r="L134" s="19"/>
    </row>
    <row r="135" spans="1:12" x14ac:dyDescent="0.25">
      <c r="A135" s="12" t="str">
        <f t="shared" si="4"/>
        <v>79</v>
      </c>
      <c r="B135" s="12">
        <v>7</v>
      </c>
      <c r="C135" s="12" t="s">
        <v>7</v>
      </c>
      <c r="D135" s="17">
        <v>9</v>
      </c>
      <c r="E135" s="18" t="s">
        <v>137</v>
      </c>
      <c r="F135" s="19" t="s">
        <v>282</v>
      </c>
      <c r="G135" s="25">
        <v>0</v>
      </c>
      <c r="H135" s="16">
        <f>IF(D135=0,0,Tabla2[[#This Row],[VOTOS CANDIDATOS]])</f>
        <v>0</v>
      </c>
      <c r="K135" s="19" t="str">
        <f>IF(I126&gt;=8,"ELEGIDO","NO ELEGIDO")</f>
        <v>NO ELEGIDO</v>
      </c>
      <c r="L135" s="19"/>
    </row>
    <row r="136" spans="1:12" x14ac:dyDescent="0.25">
      <c r="A136" s="12" t="str">
        <f t="shared" si="4"/>
        <v>710</v>
      </c>
      <c r="B136" s="12">
        <v>7</v>
      </c>
      <c r="C136" s="12" t="s">
        <v>7</v>
      </c>
      <c r="D136" s="17">
        <v>10</v>
      </c>
      <c r="E136" s="18" t="s">
        <v>138</v>
      </c>
      <c r="F136" s="19" t="s">
        <v>281</v>
      </c>
      <c r="G136" s="25">
        <v>0</v>
      </c>
      <c r="H136" s="16">
        <f>IF(D136=0,0,Tabla2[[#This Row],[VOTOS CANDIDATOS]])</f>
        <v>0</v>
      </c>
      <c r="K136" s="19" t="str">
        <f>IF(I126&gt;=9,"ELEGIDO","NO ELEGIDO")</f>
        <v>NO ELEGIDO</v>
      </c>
      <c r="L136" s="19"/>
    </row>
    <row r="137" spans="1:12" x14ac:dyDescent="0.25">
      <c r="A137" s="12" t="str">
        <f t="shared" ref="A137:A200" si="7">CONCATENATE(B137,D137)</f>
        <v>711</v>
      </c>
      <c r="B137" s="12">
        <v>7</v>
      </c>
      <c r="C137" s="12" t="s">
        <v>7</v>
      </c>
      <c r="D137" s="17">
        <v>11</v>
      </c>
      <c r="E137" s="18" t="s">
        <v>139</v>
      </c>
      <c r="F137" s="19" t="s">
        <v>281</v>
      </c>
      <c r="G137" s="25">
        <v>0</v>
      </c>
      <c r="H137" s="16">
        <f>IF(D137=0,0,Tabla2[[#This Row],[VOTOS CANDIDATOS]])</f>
        <v>0</v>
      </c>
      <c r="K137" s="19" t="str">
        <f>IF(I126&gt;=10,"ELEGIDO","NO ELEGIDO")</f>
        <v>NO ELEGIDO</v>
      </c>
      <c r="L137" s="19"/>
    </row>
    <row r="138" spans="1:12" x14ac:dyDescent="0.25">
      <c r="A138" s="12" t="str">
        <f t="shared" si="7"/>
        <v>712</v>
      </c>
      <c r="B138" s="12">
        <v>7</v>
      </c>
      <c r="C138" s="12" t="s">
        <v>7</v>
      </c>
      <c r="D138" s="17">
        <v>12</v>
      </c>
      <c r="E138" s="18" t="s">
        <v>140</v>
      </c>
      <c r="F138" s="19" t="s">
        <v>281</v>
      </c>
      <c r="G138" s="25">
        <v>0</v>
      </c>
      <c r="H138" s="16">
        <f>IF(D138=0,0,Tabla2[[#This Row],[VOTOS CANDIDATOS]])</f>
        <v>0</v>
      </c>
      <c r="K138" s="19" t="str">
        <f>IF(I126&gt;=12,"ELEGIDO","NO ELEGIDO")</f>
        <v>NO ELEGIDO</v>
      </c>
      <c r="L138" s="19"/>
    </row>
    <row r="139" spans="1:12" x14ac:dyDescent="0.25">
      <c r="A139" s="12" t="str">
        <f t="shared" si="7"/>
        <v>713</v>
      </c>
      <c r="B139" s="12">
        <v>7</v>
      </c>
      <c r="C139" s="12" t="s">
        <v>7</v>
      </c>
      <c r="D139" s="17">
        <v>13</v>
      </c>
      <c r="E139" s="18" t="s">
        <v>141</v>
      </c>
      <c r="F139" s="19" t="s">
        <v>281</v>
      </c>
      <c r="G139" s="25">
        <v>0</v>
      </c>
      <c r="H139" s="16">
        <f>IF(D139=0,0,Tabla2[[#This Row],[VOTOS CANDIDATOS]])</f>
        <v>0</v>
      </c>
      <c r="L139" s="19"/>
    </row>
    <row r="140" spans="1:12" x14ac:dyDescent="0.25">
      <c r="A140" s="12" t="str">
        <f t="shared" si="7"/>
        <v>714</v>
      </c>
      <c r="B140" s="12">
        <v>7</v>
      </c>
      <c r="C140" s="12" t="s">
        <v>7</v>
      </c>
      <c r="D140" s="17">
        <v>14</v>
      </c>
      <c r="E140" s="18" t="s">
        <v>142</v>
      </c>
      <c r="F140" s="19" t="s">
        <v>281</v>
      </c>
      <c r="G140" s="25">
        <v>0</v>
      </c>
      <c r="H140" s="16">
        <f>IF(D140=0,0,Tabla2[[#This Row],[VOTOS CANDIDATOS]])</f>
        <v>0</v>
      </c>
      <c r="L140" s="19"/>
    </row>
    <row r="141" spans="1:12" x14ac:dyDescent="0.25">
      <c r="A141" s="12" t="str">
        <f t="shared" si="7"/>
        <v>715</v>
      </c>
      <c r="B141" s="12">
        <v>7</v>
      </c>
      <c r="C141" s="12" t="s">
        <v>7</v>
      </c>
      <c r="D141" s="17">
        <v>15</v>
      </c>
      <c r="E141" s="18" t="s">
        <v>143</v>
      </c>
      <c r="F141" s="19" t="s">
        <v>282</v>
      </c>
      <c r="G141" s="25">
        <v>0</v>
      </c>
      <c r="H141" s="16">
        <f>IF(D141=0,0,Tabla2[[#This Row],[VOTOS CANDIDATOS]])</f>
        <v>0</v>
      </c>
      <c r="L141" s="19"/>
    </row>
    <row r="142" spans="1:12" s="1" customFormat="1" ht="18.75" x14ac:dyDescent="0.3">
      <c r="A142" s="12" t="str">
        <f t="shared" si="7"/>
        <v>80</v>
      </c>
      <c r="B142" s="12">
        <v>8</v>
      </c>
      <c r="C142" s="12" t="s">
        <v>8</v>
      </c>
      <c r="D142" s="20">
        <v>0</v>
      </c>
      <c r="E142" s="16" t="s">
        <v>8</v>
      </c>
      <c r="F142" s="19"/>
      <c r="G142" s="42">
        <f>PARTIDO_ALIANZA_SOCIAL_INDEPENDIENTE_ASI-SUM(G143:G163)</f>
        <v>-23306</v>
      </c>
      <c r="H142" s="16">
        <f>IF(D142=0,0,Tabla2[[#This Row],[VOTOS CANDIDATOS]])</f>
        <v>0</v>
      </c>
      <c r="I142" s="22">
        <f>CIFCAL!AC9</f>
        <v>0</v>
      </c>
      <c r="J142" s="16" t="e">
        <f>LARGE(H142:H163,Tabla2[[#This Row],[CURULES]])</f>
        <v>#NUM!</v>
      </c>
      <c r="K142" s="16"/>
      <c r="L142" s="16"/>
    </row>
    <row r="143" spans="1:12" x14ac:dyDescent="0.25">
      <c r="A143" s="12" t="str">
        <f t="shared" si="7"/>
        <v>81</v>
      </c>
      <c r="B143" s="12">
        <v>8</v>
      </c>
      <c r="C143" s="12" t="s">
        <v>8</v>
      </c>
      <c r="D143" s="17">
        <v>1</v>
      </c>
      <c r="E143" s="18" t="s">
        <v>144</v>
      </c>
      <c r="F143" s="19" t="s">
        <v>281</v>
      </c>
      <c r="G143" s="25">
        <v>989</v>
      </c>
      <c r="H143" s="16">
        <f>IF(D143=0,0,Tabla2[[#This Row],[VOTOS CANDIDATOS]])</f>
        <v>989</v>
      </c>
      <c r="J143" s="19" t="e">
        <f>J142</f>
        <v>#NUM!</v>
      </c>
      <c r="K143" s="16" t="e">
        <f>IF(Tabla2[[#This Row],[VOTOS]]&gt;=Tabla2[[#This Row],[K&gt;]],"ELEGIDO","NO ELEGIDO")</f>
        <v>#NUM!</v>
      </c>
      <c r="L143" s="19"/>
    </row>
    <row r="144" spans="1:12" x14ac:dyDescent="0.25">
      <c r="A144" s="12" t="str">
        <f t="shared" si="7"/>
        <v>82</v>
      </c>
      <c r="B144" s="12">
        <v>8</v>
      </c>
      <c r="C144" s="12" t="s">
        <v>8</v>
      </c>
      <c r="D144" s="17">
        <v>2</v>
      </c>
      <c r="E144" s="18" t="s">
        <v>145</v>
      </c>
      <c r="F144" s="19" t="s">
        <v>281</v>
      </c>
      <c r="G144" s="25">
        <v>1500</v>
      </c>
      <c r="H144" s="16">
        <f>IF(D144=0,0,Tabla2[[#This Row],[VOTOS CANDIDATOS]])</f>
        <v>1500</v>
      </c>
      <c r="J144" s="19" t="e">
        <f t="shared" ref="J144:J163" si="8">J143</f>
        <v>#NUM!</v>
      </c>
      <c r="K144" s="16" t="e">
        <f>IF(Tabla2[[#This Row],[VOTOS]]&gt;=Tabla2[[#This Row],[K&gt;]],"ELEGIDO","NO ELEGIDO")</f>
        <v>#NUM!</v>
      </c>
      <c r="L144" s="19"/>
    </row>
    <row r="145" spans="1:12" x14ac:dyDescent="0.25">
      <c r="A145" s="12" t="str">
        <f t="shared" si="7"/>
        <v>83</v>
      </c>
      <c r="B145" s="12">
        <v>8</v>
      </c>
      <c r="C145" s="12" t="s">
        <v>8</v>
      </c>
      <c r="D145" s="17">
        <v>3</v>
      </c>
      <c r="E145" s="18" t="s">
        <v>146</v>
      </c>
      <c r="F145" s="19" t="s">
        <v>281</v>
      </c>
      <c r="G145" s="25">
        <v>569</v>
      </c>
      <c r="H145" s="16">
        <f>IF(D145=0,0,Tabla2[[#This Row],[VOTOS CANDIDATOS]])</f>
        <v>569</v>
      </c>
      <c r="J145" s="19" t="e">
        <f t="shared" si="8"/>
        <v>#NUM!</v>
      </c>
      <c r="K145" s="16" t="e">
        <f>IF(Tabla2[[#This Row],[VOTOS]]&gt;=Tabla2[[#This Row],[K&gt;]],"ELEGIDO","NO ELEGIDO")</f>
        <v>#NUM!</v>
      </c>
      <c r="L145" s="19"/>
    </row>
    <row r="146" spans="1:12" x14ac:dyDescent="0.25">
      <c r="A146" s="12" t="str">
        <f t="shared" si="7"/>
        <v>84</v>
      </c>
      <c r="B146" s="12">
        <v>8</v>
      </c>
      <c r="C146" s="12" t="s">
        <v>8</v>
      </c>
      <c r="D146" s="17">
        <v>4</v>
      </c>
      <c r="E146" s="18" t="s">
        <v>147</v>
      </c>
      <c r="F146" s="19" t="s">
        <v>281</v>
      </c>
      <c r="G146" s="25">
        <v>478</v>
      </c>
      <c r="H146" s="16">
        <f>IF(D146=0,0,Tabla2[[#This Row],[VOTOS CANDIDATOS]])</f>
        <v>478</v>
      </c>
      <c r="J146" s="19" t="e">
        <f t="shared" si="8"/>
        <v>#NUM!</v>
      </c>
      <c r="K146" s="16" t="e">
        <f>IF(Tabla2[[#This Row],[VOTOS]]&gt;=Tabla2[[#This Row],[K&gt;]],"ELEGIDO","NO ELEGIDO")</f>
        <v>#NUM!</v>
      </c>
      <c r="L146" s="19"/>
    </row>
    <row r="147" spans="1:12" x14ac:dyDescent="0.25">
      <c r="A147" s="12" t="str">
        <f t="shared" si="7"/>
        <v>85</v>
      </c>
      <c r="B147" s="12">
        <v>8</v>
      </c>
      <c r="C147" s="12" t="s">
        <v>8</v>
      </c>
      <c r="D147" s="17">
        <v>5</v>
      </c>
      <c r="E147" s="18" t="s">
        <v>148</v>
      </c>
      <c r="F147" s="19" t="s">
        <v>282</v>
      </c>
      <c r="G147" s="25">
        <v>8947</v>
      </c>
      <c r="H147" s="16">
        <f>IF(D147=0,0,Tabla2[[#This Row],[VOTOS CANDIDATOS]])</f>
        <v>8947</v>
      </c>
      <c r="J147" s="19" t="e">
        <f t="shared" si="8"/>
        <v>#NUM!</v>
      </c>
      <c r="K147" s="16" t="e">
        <f>IF(Tabla2[[#This Row],[VOTOS]]&gt;=Tabla2[[#This Row],[K&gt;]],"ELEGIDO","NO ELEGIDO")</f>
        <v>#NUM!</v>
      </c>
      <c r="L147" s="19"/>
    </row>
    <row r="148" spans="1:12" x14ac:dyDescent="0.25">
      <c r="A148" s="12" t="str">
        <f t="shared" si="7"/>
        <v>86</v>
      </c>
      <c r="B148" s="12">
        <v>8</v>
      </c>
      <c r="C148" s="12" t="s">
        <v>8</v>
      </c>
      <c r="D148" s="17">
        <v>6</v>
      </c>
      <c r="E148" s="18" t="s">
        <v>149</v>
      </c>
      <c r="F148" s="19" t="s">
        <v>282</v>
      </c>
      <c r="G148" s="25">
        <v>100</v>
      </c>
      <c r="H148" s="16">
        <f>IF(D148=0,0,Tabla2[[#This Row],[VOTOS CANDIDATOS]])</f>
        <v>100</v>
      </c>
      <c r="J148" s="19" t="e">
        <f t="shared" si="8"/>
        <v>#NUM!</v>
      </c>
      <c r="K148" s="16" t="e">
        <f>IF(Tabla2[[#This Row],[VOTOS]]&gt;=Tabla2[[#This Row],[K&gt;]],"ELEGIDO","NO ELEGIDO")</f>
        <v>#NUM!</v>
      </c>
      <c r="L148" s="19"/>
    </row>
    <row r="149" spans="1:12" x14ac:dyDescent="0.25">
      <c r="A149" s="12" t="str">
        <f t="shared" si="7"/>
        <v>87</v>
      </c>
      <c r="B149" s="12">
        <v>8</v>
      </c>
      <c r="C149" s="12" t="s">
        <v>8</v>
      </c>
      <c r="D149" s="17">
        <v>7</v>
      </c>
      <c r="E149" s="18" t="s">
        <v>150</v>
      </c>
      <c r="F149" s="19" t="s">
        <v>282</v>
      </c>
      <c r="G149" s="25">
        <v>259</v>
      </c>
      <c r="H149" s="16">
        <f>IF(D149=0,0,Tabla2[[#This Row],[VOTOS CANDIDATOS]])</f>
        <v>259</v>
      </c>
      <c r="J149" s="19" t="e">
        <f t="shared" si="8"/>
        <v>#NUM!</v>
      </c>
      <c r="K149" s="16" t="e">
        <f>IF(Tabla2[[#This Row],[VOTOS]]&gt;=Tabla2[[#This Row],[K&gt;]],"ELEGIDO","NO ELEGIDO")</f>
        <v>#NUM!</v>
      </c>
      <c r="L149" s="19"/>
    </row>
    <row r="150" spans="1:12" x14ac:dyDescent="0.25">
      <c r="A150" s="12" t="str">
        <f t="shared" si="7"/>
        <v>88</v>
      </c>
      <c r="B150" s="12">
        <v>8</v>
      </c>
      <c r="C150" s="12" t="s">
        <v>8</v>
      </c>
      <c r="D150" s="17">
        <v>8</v>
      </c>
      <c r="E150" s="18" t="s">
        <v>151</v>
      </c>
      <c r="F150" s="19" t="s">
        <v>282</v>
      </c>
      <c r="G150" s="25">
        <v>7456</v>
      </c>
      <c r="H150" s="16">
        <f>IF(D150=0,0,Tabla2[[#This Row],[VOTOS CANDIDATOS]])</f>
        <v>7456</v>
      </c>
      <c r="J150" s="19" t="e">
        <f t="shared" si="8"/>
        <v>#NUM!</v>
      </c>
      <c r="K150" s="16" t="e">
        <f>IF(Tabla2[[#This Row],[VOTOS]]&gt;=Tabla2[[#This Row],[K&gt;]],"ELEGIDO","NO ELEGIDO")</f>
        <v>#NUM!</v>
      </c>
      <c r="L150" s="19"/>
    </row>
    <row r="151" spans="1:12" x14ac:dyDescent="0.25">
      <c r="A151" s="12" t="str">
        <f t="shared" si="7"/>
        <v>89</v>
      </c>
      <c r="B151" s="12">
        <v>8</v>
      </c>
      <c r="C151" s="12" t="s">
        <v>8</v>
      </c>
      <c r="D151" s="17">
        <v>9</v>
      </c>
      <c r="E151" s="18" t="s">
        <v>152</v>
      </c>
      <c r="F151" s="19" t="s">
        <v>282</v>
      </c>
      <c r="G151" s="25">
        <v>119</v>
      </c>
      <c r="H151" s="16">
        <f>IF(D151=0,0,Tabla2[[#This Row],[VOTOS CANDIDATOS]])</f>
        <v>119</v>
      </c>
      <c r="J151" s="19" t="e">
        <f t="shared" si="8"/>
        <v>#NUM!</v>
      </c>
      <c r="K151" s="16" t="e">
        <f>IF(Tabla2[[#This Row],[VOTOS]]&gt;=Tabla2[[#This Row],[K&gt;]],"ELEGIDO","NO ELEGIDO")</f>
        <v>#NUM!</v>
      </c>
      <c r="L151" s="19"/>
    </row>
    <row r="152" spans="1:12" x14ac:dyDescent="0.25">
      <c r="A152" s="12" t="str">
        <f t="shared" si="7"/>
        <v>810</v>
      </c>
      <c r="B152" s="12">
        <v>8</v>
      </c>
      <c r="C152" s="12" t="s">
        <v>8</v>
      </c>
      <c r="D152" s="17">
        <v>10</v>
      </c>
      <c r="E152" s="18" t="s">
        <v>153</v>
      </c>
      <c r="F152" s="19" t="s">
        <v>281</v>
      </c>
      <c r="G152" s="25">
        <v>778</v>
      </c>
      <c r="H152" s="16">
        <f>IF(D152=0,0,Tabla2[[#This Row],[VOTOS CANDIDATOS]])</f>
        <v>778</v>
      </c>
      <c r="J152" s="19" t="e">
        <f t="shared" si="8"/>
        <v>#NUM!</v>
      </c>
      <c r="K152" s="16" t="e">
        <f>IF(Tabla2[[#This Row],[VOTOS]]&gt;=Tabla2[[#This Row],[K&gt;]],"ELEGIDO","NO ELEGIDO")</f>
        <v>#NUM!</v>
      </c>
      <c r="L152" s="19"/>
    </row>
    <row r="153" spans="1:12" x14ac:dyDescent="0.25">
      <c r="A153" s="12" t="str">
        <f t="shared" si="7"/>
        <v>811</v>
      </c>
      <c r="B153" s="12">
        <v>8</v>
      </c>
      <c r="C153" s="12" t="s">
        <v>8</v>
      </c>
      <c r="D153" s="17">
        <v>11</v>
      </c>
      <c r="E153" s="18" t="s">
        <v>154</v>
      </c>
      <c r="F153" s="19" t="s">
        <v>281</v>
      </c>
      <c r="G153" s="25">
        <v>2856</v>
      </c>
      <c r="H153" s="16">
        <f>IF(D153=0,0,Tabla2[[#This Row],[VOTOS CANDIDATOS]])</f>
        <v>2856</v>
      </c>
      <c r="J153" s="19" t="e">
        <f t="shared" si="8"/>
        <v>#NUM!</v>
      </c>
      <c r="K153" s="16" t="e">
        <f>IF(Tabla2[[#This Row],[VOTOS]]&gt;=Tabla2[[#This Row],[K&gt;]],"ELEGIDO","NO ELEGIDO")</f>
        <v>#NUM!</v>
      </c>
      <c r="L153" s="19"/>
    </row>
    <row r="154" spans="1:12" x14ac:dyDescent="0.25">
      <c r="A154" s="12" t="str">
        <f t="shared" si="7"/>
        <v>812</v>
      </c>
      <c r="B154" s="12">
        <v>8</v>
      </c>
      <c r="C154" s="12" t="s">
        <v>8</v>
      </c>
      <c r="D154" s="17">
        <v>12</v>
      </c>
      <c r="E154" s="18" t="s">
        <v>155</v>
      </c>
      <c r="F154" s="19" t="s">
        <v>281</v>
      </c>
      <c r="G154" s="25">
        <v>1260</v>
      </c>
      <c r="H154" s="16">
        <f>IF(D154=0,0,Tabla2[[#This Row],[VOTOS CANDIDATOS]])</f>
        <v>1260</v>
      </c>
      <c r="J154" s="19" t="e">
        <f t="shared" si="8"/>
        <v>#NUM!</v>
      </c>
      <c r="K154" s="16" t="e">
        <f>IF(Tabla2[[#This Row],[VOTOS]]&gt;=Tabla2[[#This Row],[K&gt;]],"ELEGIDO","NO ELEGIDO")</f>
        <v>#NUM!</v>
      </c>
      <c r="L154" s="19"/>
    </row>
    <row r="155" spans="1:12" x14ac:dyDescent="0.25">
      <c r="A155" s="12" t="str">
        <f t="shared" si="7"/>
        <v>813</v>
      </c>
      <c r="B155" s="12">
        <v>8</v>
      </c>
      <c r="C155" s="12" t="s">
        <v>8</v>
      </c>
      <c r="D155" s="17">
        <v>13</v>
      </c>
      <c r="E155" s="18" t="s">
        <v>156</v>
      </c>
      <c r="F155" s="19" t="s">
        <v>281</v>
      </c>
      <c r="G155" s="25">
        <v>569</v>
      </c>
      <c r="H155" s="16">
        <f>IF(D155=0,0,Tabla2[[#This Row],[VOTOS CANDIDATOS]])</f>
        <v>569</v>
      </c>
      <c r="J155" s="19" t="e">
        <f t="shared" si="8"/>
        <v>#NUM!</v>
      </c>
      <c r="K155" s="16" t="e">
        <f>IF(Tabla2[[#This Row],[VOTOS]]&gt;=Tabla2[[#This Row],[K&gt;]],"ELEGIDO","NO ELEGIDO")</f>
        <v>#NUM!</v>
      </c>
      <c r="L155" s="19"/>
    </row>
    <row r="156" spans="1:12" x14ac:dyDescent="0.25">
      <c r="A156" s="12" t="str">
        <f t="shared" si="7"/>
        <v>814</v>
      </c>
      <c r="B156" s="12">
        <v>8</v>
      </c>
      <c r="C156" s="12" t="s">
        <v>8</v>
      </c>
      <c r="D156" s="17">
        <v>14</v>
      </c>
      <c r="E156" s="18" t="s">
        <v>157</v>
      </c>
      <c r="F156" s="19" t="s">
        <v>281</v>
      </c>
      <c r="G156" s="25">
        <v>23</v>
      </c>
      <c r="H156" s="16">
        <f>IF(D156=0,0,Tabla2[[#This Row],[VOTOS CANDIDATOS]])</f>
        <v>23</v>
      </c>
      <c r="J156" s="19" t="e">
        <f t="shared" si="8"/>
        <v>#NUM!</v>
      </c>
      <c r="K156" s="16" t="e">
        <f>IF(Tabla2[[#This Row],[VOTOS]]&gt;=Tabla2[[#This Row],[K&gt;]],"ELEGIDO","NO ELEGIDO")</f>
        <v>#NUM!</v>
      </c>
      <c r="L156" s="19"/>
    </row>
    <row r="157" spans="1:12" x14ac:dyDescent="0.25">
      <c r="A157" s="12" t="str">
        <f t="shared" si="7"/>
        <v>815</v>
      </c>
      <c r="B157" s="12">
        <v>8</v>
      </c>
      <c r="C157" s="12" t="s">
        <v>8</v>
      </c>
      <c r="D157" s="17">
        <v>15</v>
      </c>
      <c r="E157" s="18" t="s">
        <v>158</v>
      </c>
      <c r="F157" s="19" t="s">
        <v>282</v>
      </c>
      <c r="G157" s="25">
        <v>15</v>
      </c>
      <c r="H157" s="16">
        <f>IF(D157=0,0,Tabla2[[#This Row],[VOTOS CANDIDATOS]])</f>
        <v>15</v>
      </c>
      <c r="J157" s="19" t="e">
        <f t="shared" si="8"/>
        <v>#NUM!</v>
      </c>
      <c r="K157" s="16" t="e">
        <f>IF(Tabla2[[#This Row],[VOTOS]]&gt;=Tabla2[[#This Row],[K&gt;]],"ELEGIDO","NO ELEGIDO")</f>
        <v>#NUM!</v>
      </c>
      <c r="L157" s="19"/>
    </row>
    <row r="158" spans="1:12" x14ac:dyDescent="0.25">
      <c r="A158" s="12" t="str">
        <f t="shared" si="7"/>
        <v>816</v>
      </c>
      <c r="B158" s="12">
        <v>8</v>
      </c>
      <c r="C158" s="12" t="s">
        <v>8</v>
      </c>
      <c r="D158" s="17">
        <v>16</v>
      </c>
      <c r="E158" s="18" t="s">
        <v>159</v>
      </c>
      <c r="F158" s="19" t="s">
        <v>281</v>
      </c>
      <c r="G158" s="25">
        <v>78</v>
      </c>
      <c r="H158" s="16">
        <f>IF(D158=0,0,Tabla2[[#This Row],[VOTOS CANDIDATOS]])</f>
        <v>78</v>
      </c>
      <c r="J158" s="19" t="e">
        <f t="shared" si="8"/>
        <v>#NUM!</v>
      </c>
      <c r="K158" s="16" t="e">
        <f>IF(Tabla2[[#This Row],[VOTOS]]&gt;=Tabla2[[#This Row],[K&gt;]],"ELEGIDO","NO ELEGIDO")</f>
        <v>#NUM!</v>
      </c>
      <c r="L158" s="19"/>
    </row>
    <row r="159" spans="1:12" x14ac:dyDescent="0.25">
      <c r="A159" s="12" t="str">
        <f t="shared" si="7"/>
        <v>817</v>
      </c>
      <c r="B159" s="12">
        <v>8</v>
      </c>
      <c r="C159" s="12" t="s">
        <v>8</v>
      </c>
      <c r="D159" s="17">
        <v>17</v>
      </c>
      <c r="E159" s="18" t="s">
        <v>160</v>
      </c>
      <c r="F159" s="19" t="s">
        <v>282</v>
      </c>
      <c r="G159" s="25">
        <v>1489</v>
      </c>
      <c r="H159" s="16">
        <f>IF(D159=0,0,Tabla2[[#This Row],[VOTOS CANDIDATOS]])</f>
        <v>1489</v>
      </c>
      <c r="J159" s="19" t="e">
        <f t="shared" si="8"/>
        <v>#NUM!</v>
      </c>
      <c r="K159" s="16" t="e">
        <f>IF(Tabla2[[#This Row],[VOTOS]]&gt;=Tabla2[[#This Row],[K&gt;]],"ELEGIDO","NO ELEGIDO")</f>
        <v>#NUM!</v>
      </c>
      <c r="L159" s="19"/>
    </row>
    <row r="160" spans="1:12" x14ac:dyDescent="0.25">
      <c r="A160" s="12" t="str">
        <f t="shared" si="7"/>
        <v>818</v>
      </c>
      <c r="B160" s="12">
        <v>8</v>
      </c>
      <c r="C160" s="12" t="s">
        <v>8</v>
      </c>
      <c r="D160" s="17">
        <v>18</v>
      </c>
      <c r="E160" s="18" t="s">
        <v>161</v>
      </c>
      <c r="F160" s="19" t="s">
        <v>281</v>
      </c>
      <c r="G160" s="25">
        <v>3</v>
      </c>
      <c r="H160" s="16">
        <f>IF(D160=0,0,Tabla2[[#This Row],[VOTOS CANDIDATOS]])</f>
        <v>3</v>
      </c>
      <c r="J160" s="19" t="e">
        <f t="shared" si="8"/>
        <v>#NUM!</v>
      </c>
      <c r="K160" s="16" t="e">
        <f>IF(Tabla2[[#This Row],[VOTOS]]&gt;=Tabla2[[#This Row],[K&gt;]],"ELEGIDO","NO ELEGIDO")</f>
        <v>#NUM!</v>
      </c>
      <c r="L160" s="19"/>
    </row>
    <row r="161" spans="1:12" x14ac:dyDescent="0.25">
      <c r="A161" s="12" t="str">
        <f t="shared" si="7"/>
        <v>819</v>
      </c>
      <c r="B161" s="12">
        <v>8</v>
      </c>
      <c r="C161" s="12" t="s">
        <v>8</v>
      </c>
      <c r="D161" s="17">
        <v>19</v>
      </c>
      <c r="E161" s="18" t="s">
        <v>162</v>
      </c>
      <c r="F161" s="19" t="s">
        <v>281</v>
      </c>
      <c r="G161" s="25">
        <v>25</v>
      </c>
      <c r="H161" s="16">
        <f>IF(D161=0,0,Tabla2[[#This Row],[VOTOS CANDIDATOS]])</f>
        <v>25</v>
      </c>
      <c r="J161" s="19" t="e">
        <f t="shared" si="8"/>
        <v>#NUM!</v>
      </c>
      <c r="K161" s="16" t="e">
        <f>IF(Tabla2[[#This Row],[VOTOS]]&gt;=Tabla2[[#This Row],[K&gt;]],"ELEGIDO","NO ELEGIDO")</f>
        <v>#NUM!</v>
      </c>
      <c r="L161" s="19"/>
    </row>
    <row r="162" spans="1:12" x14ac:dyDescent="0.25">
      <c r="A162" s="12" t="str">
        <f t="shared" si="7"/>
        <v>820</v>
      </c>
      <c r="B162" s="12">
        <v>8</v>
      </c>
      <c r="C162" s="12" t="s">
        <v>8</v>
      </c>
      <c r="D162" s="17">
        <v>20</v>
      </c>
      <c r="E162" s="18" t="s">
        <v>163</v>
      </c>
      <c r="F162" s="19" t="s">
        <v>281</v>
      </c>
      <c r="G162" s="25">
        <v>13</v>
      </c>
      <c r="H162" s="16">
        <f>IF(D162=0,0,Tabla2[[#This Row],[VOTOS CANDIDATOS]])</f>
        <v>13</v>
      </c>
      <c r="J162" s="19" t="e">
        <f t="shared" si="8"/>
        <v>#NUM!</v>
      </c>
      <c r="K162" s="16" t="e">
        <f>IF(Tabla2[[#This Row],[VOTOS]]&gt;=Tabla2[[#This Row],[K&gt;]],"ELEGIDO","NO ELEGIDO")</f>
        <v>#NUM!</v>
      </c>
      <c r="L162" s="19"/>
    </row>
    <row r="163" spans="1:12" x14ac:dyDescent="0.25">
      <c r="A163" s="12" t="str">
        <f t="shared" si="7"/>
        <v>821</v>
      </c>
      <c r="B163" s="12">
        <v>8</v>
      </c>
      <c r="C163" s="12" t="s">
        <v>8</v>
      </c>
      <c r="D163" s="17">
        <v>21</v>
      </c>
      <c r="E163" s="18" t="s">
        <v>164</v>
      </c>
      <c r="F163" s="19" t="s">
        <v>281</v>
      </c>
      <c r="G163" s="25">
        <v>5890</v>
      </c>
      <c r="H163" s="16">
        <f>IF(D163=0,0,Tabla2[[#This Row],[VOTOS CANDIDATOS]])</f>
        <v>5890</v>
      </c>
      <c r="J163" s="19" t="e">
        <f t="shared" si="8"/>
        <v>#NUM!</v>
      </c>
      <c r="K163" s="16" t="e">
        <f>IF(Tabla2[[#This Row],[VOTOS]]&gt;=Tabla2[[#This Row],[K&gt;]],"ELEGIDO","NO ELEGIDO")</f>
        <v>#NUM!</v>
      </c>
      <c r="L163" s="19"/>
    </row>
    <row r="164" spans="1:12" s="1" customFormat="1" ht="18.75" x14ac:dyDescent="0.3">
      <c r="A164" s="12" t="str">
        <f t="shared" si="7"/>
        <v>90</v>
      </c>
      <c r="B164" s="12">
        <v>9</v>
      </c>
      <c r="C164" s="12" t="s">
        <v>9</v>
      </c>
      <c r="D164" s="20">
        <v>0</v>
      </c>
      <c r="E164" s="16" t="s">
        <v>9</v>
      </c>
      <c r="F164" s="19"/>
      <c r="G164" s="42">
        <f>PARTIDO_ALIANZA_VERDE-SUM(G165:G185)</f>
        <v>10560</v>
      </c>
      <c r="H164" s="16">
        <f>IF(D164=0,0,Tabla2[[#This Row],[VOTOS CANDIDATOS]])</f>
        <v>0</v>
      </c>
      <c r="I164" s="22">
        <f>CIFCAL!AC10</f>
        <v>1</v>
      </c>
      <c r="J164" s="16">
        <f>LARGE(H164:H185,Tabla2[[#This Row],[CURULES]])</f>
        <v>7500</v>
      </c>
      <c r="K164" s="16"/>
      <c r="L164" s="16"/>
    </row>
    <row r="165" spans="1:12" x14ac:dyDescent="0.25">
      <c r="A165" s="12" t="str">
        <f t="shared" si="7"/>
        <v>91</v>
      </c>
      <c r="B165" s="12">
        <v>9</v>
      </c>
      <c r="C165" s="12" t="s">
        <v>9</v>
      </c>
      <c r="D165" s="17">
        <v>1</v>
      </c>
      <c r="E165" s="18" t="s">
        <v>165</v>
      </c>
      <c r="F165" s="19" t="s">
        <v>281</v>
      </c>
      <c r="G165" s="25">
        <v>3897</v>
      </c>
      <c r="H165" s="16">
        <f>IF(D165=0,0,Tabla2[[#This Row],[VOTOS CANDIDATOS]])</f>
        <v>3897</v>
      </c>
      <c r="J165" s="19">
        <f>J164</f>
        <v>7500</v>
      </c>
      <c r="K165" s="16" t="str">
        <f>IF(Tabla2[[#This Row],[VOTOS]]&gt;=Tabla2[[#This Row],[K&gt;]],"ELEGIDO","NO ELEGIDO")</f>
        <v>NO ELEGIDO</v>
      </c>
      <c r="L165" s="19"/>
    </row>
    <row r="166" spans="1:12" x14ac:dyDescent="0.25">
      <c r="A166" s="12" t="str">
        <f t="shared" si="7"/>
        <v>92</v>
      </c>
      <c r="B166" s="12">
        <v>9</v>
      </c>
      <c r="C166" s="12" t="s">
        <v>9</v>
      </c>
      <c r="D166" s="17">
        <v>2</v>
      </c>
      <c r="E166" s="18" t="s">
        <v>166</v>
      </c>
      <c r="F166" s="19" t="s">
        <v>281</v>
      </c>
      <c r="G166" s="25">
        <v>77</v>
      </c>
      <c r="H166" s="16">
        <f>IF(D166=0,0,Tabla2[[#This Row],[VOTOS CANDIDATOS]])</f>
        <v>77</v>
      </c>
      <c r="J166" s="19">
        <f t="shared" ref="J166:J185" si="9">J165</f>
        <v>7500</v>
      </c>
      <c r="K166" s="16" t="str">
        <f>IF(Tabla2[[#This Row],[VOTOS]]&gt;=Tabla2[[#This Row],[K&gt;]],"ELEGIDO","NO ELEGIDO")</f>
        <v>NO ELEGIDO</v>
      </c>
      <c r="L166" s="19"/>
    </row>
    <row r="167" spans="1:12" x14ac:dyDescent="0.25">
      <c r="A167" s="12" t="str">
        <f t="shared" si="7"/>
        <v>93</v>
      </c>
      <c r="B167" s="12">
        <v>9</v>
      </c>
      <c r="C167" s="12" t="s">
        <v>9</v>
      </c>
      <c r="D167" s="17">
        <v>3</v>
      </c>
      <c r="E167" s="18" t="s">
        <v>167</v>
      </c>
      <c r="F167" s="19" t="s">
        <v>282</v>
      </c>
      <c r="G167" s="25">
        <v>125</v>
      </c>
      <c r="H167" s="16">
        <f>IF(D167=0,0,Tabla2[[#This Row],[VOTOS CANDIDATOS]])</f>
        <v>125</v>
      </c>
      <c r="J167" s="19">
        <f t="shared" si="9"/>
        <v>7500</v>
      </c>
      <c r="K167" s="16" t="str">
        <f>IF(Tabla2[[#This Row],[VOTOS]]&gt;=Tabla2[[#This Row],[K&gt;]],"ELEGIDO","NO ELEGIDO")</f>
        <v>NO ELEGIDO</v>
      </c>
      <c r="L167" s="19"/>
    </row>
    <row r="168" spans="1:12" x14ac:dyDescent="0.25">
      <c r="A168" s="12" t="str">
        <f t="shared" si="7"/>
        <v>94</v>
      </c>
      <c r="B168" s="12">
        <v>9</v>
      </c>
      <c r="C168" s="12" t="s">
        <v>9</v>
      </c>
      <c r="D168" s="17">
        <v>4</v>
      </c>
      <c r="E168" s="18" t="s">
        <v>168</v>
      </c>
      <c r="F168" s="19" t="s">
        <v>281</v>
      </c>
      <c r="G168" s="25">
        <v>1598</v>
      </c>
      <c r="H168" s="16">
        <f>IF(D168=0,0,Tabla2[[#This Row],[VOTOS CANDIDATOS]])</f>
        <v>1598</v>
      </c>
      <c r="J168" s="19">
        <f t="shared" si="9"/>
        <v>7500</v>
      </c>
      <c r="K168" s="16" t="str">
        <f>IF(Tabla2[[#This Row],[VOTOS]]&gt;=Tabla2[[#This Row],[K&gt;]],"ELEGIDO","NO ELEGIDO")</f>
        <v>NO ELEGIDO</v>
      </c>
      <c r="L168" s="19"/>
    </row>
    <row r="169" spans="1:12" x14ac:dyDescent="0.25">
      <c r="A169" s="12" t="str">
        <f t="shared" si="7"/>
        <v>95</v>
      </c>
      <c r="B169" s="12">
        <v>9</v>
      </c>
      <c r="C169" s="12" t="s">
        <v>9</v>
      </c>
      <c r="D169" s="17">
        <v>5</v>
      </c>
      <c r="E169" s="18" t="s">
        <v>169</v>
      </c>
      <c r="F169" s="19" t="s">
        <v>281</v>
      </c>
      <c r="G169" s="25">
        <v>6987</v>
      </c>
      <c r="H169" s="16">
        <f>IF(D169=0,0,Tabla2[[#This Row],[VOTOS CANDIDATOS]])</f>
        <v>6987</v>
      </c>
      <c r="J169" s="19">
        <f t="shared" si="9"/>
        <v>7500</v>
      </c>
      <c r="K169" s="16" t="str">
        <f>IF(Tabla2[[#This Row],[VOTOS]]&gt;=Tabla2[[#This Row],[K&gt;]],"ELEGIDO","NO ELEGIDO")</f>
        <v>NO ELEGIDO</v>
      </c>
      <c r="L169" s="19"/>
    </row>
    <row r="170" spans="1:12" x14ac:dyDescent="0.25">
      <c r="A170" s="12" t="str">
        <f t="shared" si="7"/>
        <v>96</v>
      </c>
      <c r="B170" s="12">
        <v>9</v>
      </c>
      <c r="C170" s="12" t="s">
        <v>9</v>
      </c>
      <c r="D170" s="17">
        <v>6</v>
      </c>
      <c r="E170" s="18" t="s">
        <v>170</v>
      </c>
      <c r="F170" s="19" t="s">
        <v>282</v>
      </c>
      <c r="G170" s="25">
        <v>100</v>
      </c>
      <c r="H170" s="16">
        <f>IF(D170=0,0,Tabla2[[#This Row],[VOTOS CANDIDATOS]])</f>
        <v>100</v>
      </c>
      <c r="J170" s="19">
        <f t="shared" si="9"/>
        <v>7500</v>
      </c>
      <c r="K170" s="16" t="str">
        <f>IF(Tabla2[[#This Row],[VOTOS]]&gt;=Tabla2[[#This Row],[K&gt;]],"ELEGIDO","NO ELEGIDO")</f>
        <v>NO ELEGIDO</v>
      </c>
      <c r="L170" s="19"/>
    </row>
    <row r="171" spans="1:12" x14ac:dyDescent="0.25">
      <c r="A171" s="12" t="str">
        <f t="shared" si="7"/>
        <v>97</v>
      </c>
      <c r="B171" s="12">
        <v>9</v>
      </c>
      <c r="C171" s="12" t="s">
        <v>9</v>
      </c>
      <c r="D171" s="17">
        <v>7</v>
      </c>
      <c r="E171" s="18" t="s">
        <v>171</v>
      </c>
      <c r="F171" s="19" t="s">
        <v>281</v>
      </c>
      <c r="G171" s="25">
        <v>5900</v>
      </c>
      <c r="H171" s="16">
        <f>IF(D171=0,0,Tabla2[[#This Row],[VOTOS CANDIDATOS]])</f>
        <v>5900</v>
      </c>
      <c r="J171" s="19">
        <f t="shared" si="9"/>
        <v>7500</v>
      </c>
      <c r="K171" s="16" t="str">
        <f>IF(Tabla2[[#This Row],[VOTOS]]&gt;=Tabla2[[#This Row],[K&gt;]],"ELEGIDO","NO ELEGIDO")</f>
        <v>NO ELEGIDO</v>
      </c>
      <c r="L171" s="19"/>
    </row>
    <row r="172" spans="1:12" x14ac:dyDescent="0.25">
      <c r="A172" s="12" t="str">
        <f t="shared" si="7"/>
        <v>98</v>
      </c>
      <c r="B172" s="12">
        <v>9</v>
      </c>
      <c r="C172" s="12" t="s">
        <v>9</v>
      </c>
      <c r="D172" s="17">
        <v>8</v>
      </c>
      <c r="E172" s="18" t="s">
        <v>172</v>
      </c>
      <c r="F172" s="19" t="s">
        <v>282</v>
      </c>
      <c r="G172" s="25">
        <v>145</v>
      </c>
      <c r="H172" s="16">
        <f>IF(D172=0,0,Tabla2[[#This Row],[VOTOS CANDIDATOS]])</f>
        <v>145</v>
      </c>
      <c r="J172" s="19">
        <f t="shared" si="9"/>
        <v>7500</v>
      </c>
      <c r="K172" s="16" t="str">
        <f>IF(Tabla2[[#This Row],[VOTOS]]&gt;=Tabla2[[#This Row],[K&gt;]],"ELEGIDO","NO ELEGIDO")</f>
        <v>NO ELEGIDO</v>
      </c>
      <c r="L172" s="19"/>
    </row>
    <row r="173" spans="1:12" x14ac:dyDescent="0.25">
      <c r="A173" s="12" t="str">
        <f t="shared" si="7"/>
        <v>99</v>
      </c>
      <c r="B173" s="12">
        <v>9</v>
      </c>
      <c r="C173" s="12" t="s">
        <v>9</v>
      </c>
      <c r="D173" s="17">
        <v>9</v>
      </c>
      <c r="E173" s="18" t="s">
        <v>173</v>
      </c>
      <c r="F173" s="19" t="s">
        <v>281</v>
      </c>
      <c r="G173" s="25">
        <v>3690</v>
      </c>
      <c r="H173" s="16">
        <f>IF(D173=0,0,Tabla2[[#This Row],[VOTOS CANDIDATOS]])</f>
        <v>3690</v>
      </c>
      <c r="J173" s="19">
        <f t="shared" si="9"/>
        <v>7500</v>
      </c>
      <c r="K173" s="16" t="str">
        <f>IF(Tabla2[[#This Row],[VOTOS]]&gt;=Tabla2[[#This Row],[K&gt;]],"ELEGIDO","NO ELEGIDO")</f>
        <v>NO ELEGIDO</v>
      </c>
      <c r="L173" s="19"/>
    </row>
    <row r="174" spans="1:12" x14ac:dyDescent="0.25">
      <c r="A174" s="12" t="str">
        <f t="shared" si="7"/>
        <v>910</v>
      </c>
      <c r="B174" s="12">
        <v>9</v>
      </c>
      <c r="C174" s="12" t="s">
        <v>9</v>
      </c>
      <c r="D174" s="17">
        <v>10</v>
      </c>
      <c r="E174" s="18" t="s">
        <v>174</v>
      </c>
      <c r="F174" s="19" t="s">
        <v>281</v>
      </c>
      <c r="G174" s="25">
        <v>2</v>
      </c>
      <c r="H174" s="16">
        <f>IF(D174=0,0,Tabla2[[#This Row],[VOTOS CANDIDATOS]])</f>
        <v>2</v>
      </c>
      <c r="J174" s="19">
        <f t="shared" si="9"/>
        <v>7500</v>
      </c>
      <c r="K174" s="16" t="str">
        <f>IF(Tabla2[[#This Row],[VOTOS]]&gt;=Tabla2[[#This Row],[K&gt;]],"ELEGIDO","NO ELEGIDO")</f>
        <v>NO ELEGIDO</v>
      </c>
      <c r="L174" s="19"/>
    </row>
    <row r="175" spans="1:12" x14ac:dyDescent="0.25">
      <c r="A175" s="12" t="str">
        <f t="shared" si="7"/>
        <v>911</v>
      </c>
      <c r="B175" s="12">
        <v>9</v>
      </c>
      <c r="C175" s="12" t="s">
        <v>9</v>
      </c>
      <c r="D175" s="17">
        <v>11</v>
      </c>
      <c r="E175" s="18" t="s">
        <v>175</v>
      </c>
      <c r="F175" s="19" t="s">
        <v>281</v>
      </c>
      <c r="G175" s="25">
        <v>27</v>
      </c>
      <c r="H175" s="16">
        <f>IF(D175=0,0,Tabla2[[#This Row],[VOTOS CANDIDATOS]])</f>
        <v>27</v>
      </c>
      <c r="J175" s="19">
        <f t="shared" si="9"/>
        <v>7500</v>
      </c>
      <c r="K175" s="16" t="str">
        <f>IF(Tabla2[[#This Row],[VOTOS]]&gt;=Tabla2[[#This Row],[K&gt;]],"ELEGIDO","NO ELEGIDO")</f>
        <v>NO ELEGIDO</v>
      </c>
      <c r="L175" s="19"/>
    </row>
    <row r="176" spans="1:12" x14ac:dyDescent="0.25">
      <c r="A176" s="12" t="str">
        <f t="shared" si="7"/>
        <v>912</v>
      </c>
      <c r="B176" s="12">
        <v>9</v>
      </c>
      <c r="C176" s="12" t="s">
        <v>9</v>
      </c>
      <c r="D176" s="17">
        <v>12</v>
      </c>
      <c r="E176" s="18" t="s">
        <v>176</v>
      </c>
      <c r="F176" s="19" t="s">
        <v>281</v>
      </c>
      <c r="G176" s="25">
        <v>1450</v>
      </c>
      <c r="H176" s="16">
        <f>IF(D176=0,0,Tabla2[[#This Row],[VOTOS CANDIDATOS]])</f>
        <v>1450</v>
      </c>
      <c r="J176" s="19">
        <f t="shared" si="9"/>
        <v>7500</v>
      </c>
      <c r="K176" s="16" t="str">
        <f>IF(Tabla2[[#This Row],[VOTOS]]&gt;=Tabla2[[#This Row],[K&gt;]],"ELEGIDO","NO ELEGIDO")</f>
        <v>NO ELEGIDO</v>
      </c>
      <c r="L176" s="19"/>
    </row>
    <row r="177" spans="1:12" x14ac:dyDescent="0.25">
      <c r="A177" s="12" t="str">
        <f t="shared" si="7"/>
        <v>913</v>
      </c>
      <c r="B177" s="12">
        <v>9</v>
      </c>
      <c r="C177" s="12" t="s">
        <v>9</v>
      </c>
      <c r="D177" s="17">
        <v>13</v>
      </c>
      <c r="E177" s="18" t="s">
        <v>177</v>
      </c>
      <c r="F177" s="19" t="s">
        <v>282</v>
      </c>
      <c r="G177" s="25">
        <v>1100</v>
      </c>
      <c r="H177" s="16">
        <f>IF(D177=0,0,Tabla2[[#This Row],[VOTOS CANDIDATOS]])</f>
        <v>1100</v>
      </c>
      <c r="J177" s="19">
        <f t="shared" si="9"/>
        <v>7500</v>
      </c>
      <c r="K177" s="16" t="str">
        <f>IF(Tabla2[[#This Row],[VOTOS]]&gt;=Tabla2[[#This Row],[K&gt;]],"ELEGIDO","NO ELEGIDO")</f>
        <v>NO ELEGIDO</v>
      </c>
      <c r="L177" s="19"/>
    </row>
    <row r="178" spans="1:12" x14ac:dyDescent="0.25">
      <c r="A178" s="12" t="str">
        <f t="shared" si="7"/>
        <v>914</v>
      </c>
      <c r="B178" s="12">
        <v>9</v>
      </c>
      <c r="C178" s="12" t="s">
        <v>9</v>
      </c>
      <c r="D178" s="17">
        <v>14</v>
      </c>
      <c r="E178" s="18" t="s">
        <v>178</v>
      </c>
      <c r="F178" s="19" t="s">
        <v>281</v>
      </c>
      <c r="G178" s="25">
        <v>25</v>
      </c>
      <c r="H178" s="16">
        <f>IF(D178=0,0,Tabla2[[#This Row],[VOTOS CANDIDATOS]])</f>
        <v>25</v>
      </c>
      <c r="J178" s="19">
        <f t="shared" si="9"/>
        <v>7500</v>
      </c>
      <c r="K178" s="16" t="str">
        <f>IF(Tabla2[[#This Row],[VOTOS]]&gt;=Tabla2[[#This Row],[K&gt;]],"ELEGIDO","NO ELEGIDO")</f>
        <v>NO ELEGIDO</v>
      </c>
      <c r="L178" s="19"/>
    </row>
    <row r="179" spans="1:12" x14ac:dyDescent="0.25">
      <c r="A179" s="12" t="str">
        <f t="shared" si="7"/>
        <v>915</v>
      </c>
      <c r="B179" s="12">
        <v>9</v>
      </c>
      <c r="C179" s="12" t="s">
        <v>9</v>
      </c>
      <c r="D179" s="17">
        <v>15</v>
      </c>
      <c r="E179" s="18" t="s">
        <v>179</v>
      </c>
      <c r="F179" s="19" t="s">
        <v>281</v>
      </c>
      <c r="G179" s="25">
        <v>122</v>
      </c>
      <c r="H179" s="16">
        <f>IF(D179=0,0,Tabla2[[#This Row],[VOTOS CANDIDATOS]])</f>
        <v>122</v>
      </c>
      <c r="J179" s="19">
        <f t="shared" si="9"/>
        <v>7500</v>
      </c>
      <c r="K179" s="16" t="str">
        <f>IF(Tabla2[[#This Row],[VOTOS]]&gt;=Tabla2[[#This Row],[K&gt;]],"ELEGIDO","NO ELEGIDO")</f>
        <v>NO ELEGIDO</v>
      </c>
      <c r="L179" s="19"/>
    </row>
    <row r="180" spans="1:12" x14ac:dyDescent="0.25">
      <c r="A180" s="12" t="str">
        <f t="shared" si="7"/>
        <v>916</v>
      </c>
      <c r="B180" s="12">
        <v>9</v>
      </c>
      <c r="C180" s="12" t="s">
        <v>9</v>
      </c>
      <c r="D180" s="17">
        <v>16</v>
      </c>
      <c r="E180" s="18" t="s">
        <v>180</v>
      </c>
      <c r="F180" s="19" t="s">
        <v>281</v>
      </c>
      <c r="G180" s="25">
        <v>33</v>
      </c>
      <c r="H180" s="16">
        <f>IF(D180=0,0,Tabla2[[#This Row],[VOTOS CANDIDATOS]])</f>
        <v>33</v>
      </c>
      <c r="J180" s="19">
        <f t="shared" si="9"/>
        <v>7500</v>
      </c>
      <c r="K180" s="16" t="str">
        <f>IF(Tabla2[[#This Row],[VOTOS]]&gt;=Tabla2[[#This Row],[K&gt;]],"ELEGIDO","NO ELEGIDO")</f>
        <v>NO ELEGIDO</v>
      </c>
      <c r="L180" s="19"/>
    </row>
    <row r="181" spans="1:12" x14ac:dyDescent="0.25">
      <c r="A181" s="12" t="str">
        <f t="shared" si="7"/>
        <v>917</v>
      </c>
      <c r="B181" s="12">
        <v>9</v>
      </c>
      <c r="C181" s="12" t="s">
        <v>9</v>
      </c>
      <c r="D181" s="17">
        <v>17</v>
      </c>
      <c r="E181" s="18" t="s">
        <v>181</v>
      </c>
      <c r="F181" s="19" t="s">
        <v>281</v>
      </c>
      <c r="G181" s="25">
        <v>45</v>
      </c>
      <c r="H181" s="16">
        <f>IF(D181=0,0,Tabla2[[#This Row],[VOTOS CANDIDATOS]])</f>
        <v>45</v>
      </c>
      <c r="J181" s="19">
        <f t="shared" si="9"/>
        <v>7500</v>
      </c>
      <c r="K181" s="16" t="str">
        <f>IF(Tabla2[[#This Row],[VOTOS]]&gt;=Tabla2[[#This Row],[K&gt;]],"ELEGIDO","NO ELEGIDO")</f>
        <v>NO ELEGIDO</v>
      </c>
      <c r="L181" s="19"/>
    </row>
    <row r="182" spans="1:12" x14ac:dyDescent="0.25">
      <c r="A182" s="12" t="str">
        <f t="shared" si="7"/>
        <v>918</v>
      </c>
      <c r="B182" s="12">
        <v>9</v>
      </c>
      <c r="C182" s="12" t="s">
        <v>9</v>
      </c>
      <c r="D182" s="17">
        <v>18</v>
      </c>
      <c r="E182" s="18" t="s">
        <v>182</v>
      </c>
      <c r="F182" s="19" t="s">
        <v>282</v>
      </c>
      <c r="G182" s="25">
        <v>73</v>
      </c>
      <c r="H182" s="16">
        <f>IF(D182=0,0,Tabla2[[#This Row],[VOTOS CANDIDATOS]])</f>
        <v>73</v>
      </c>
      <c r="J182" s="19">
        <f t="shared" si="9"/>
        <v>7500</v>
      </c>
      <c r="K182" s="16" t="str">
        <f>IF(Tabla2[[#This Row],[VOTOS]]&gt;=Tabla2[[#This Row],[K&gt;]],"ELEGIDO","NO ELEGIDO")</f>
        <v>NO ELEGIDO</v>
      </c>
      <c r="L182" s="19"/>
    </row>
    <row r="183" spans="1:12" x14ac:dyDescent="0.25">
      <c r="A183" s="12" t="str">
        <f t="shared" si="7"/>
        <v>919</v>
      </c>
      <c r="B183" s="12">
        <v>9</v>
      </c>
      <c r="C183" s="12" t="s">
        <v>9</v>
      </c>
      <c r="D183" s="17">
        <v>19</v>
      </c>
      <c r="E183" s="18" t="s">
        <v>183</v>
      </c>
      <c r="F183" s="19" t="s">
        <v>282</v>
      </c>
      <c r="G183" s="25">
        <v>12</v>
      </c>
      <c r="H183" s="16">
        <f>IF(D183=0,0,Tabla2[[#This Row],[VOTOS CANDIDATOS]])</f>
        <v>12</v>
      </c>
      <c r="J183" s="19">
        <f t="shared" si="9"/>
        <v>7500</v>
      </c>
      <c r="K183" s="16" t="str">
        <f>IF(Tabla2[[#This Row],[VOTOS]]&gt;=Tabla2[[#This Row],[K&gt;]],"ELEGIDO","NO ELEGIDO")</f>
        <v>NO ELEGIDO</v>
      </c>
      <c r="L183" s="19"/>
    </row>
    <row r="184" spans="1:12" x14ac:dyDescent="0.25">
      <c r="A184" s="12" t="str">
        <f t="shared" si="7"/>
        <v>920</v>
      </c>
      <c r="B184" s="12">
        <v>9</v>
      </c>
      <c r="C184" s="12" t="s">
        <v>9</v>
      </c>
      <c r="D184" s="17">
        <v>20</v>
      </c>
      <c r="E184" s="18" t="s">
        <v>184</v>
      </c>
      <c r="F184" s="19" t="s">
        <v>282</v>
      </c>
      <c r="G184" s="25">
        <v>36</v>
      </c>
      <c r="H184" s="16">
        <f>IF(D184=0,0,Tabla2[[#This Row],[VOTOS CANDIDATOS]])</f>
        <v>36</v>
      </c>
      <c r="J184" s="19">
        <f t="shared" si="9"/>
        <v>7500</v>
      </c>
      <c r="K184" s="16" t="str">
        <f>IF(Tabla2[[#This Row],[VOTOS]]&gt;=Tabla2[[#This Row],[K&gt;]],"ELEGIDO","NO ELEGIDO")</f>
        <v>NO ELEGIDO</v>
      </c>
      <c r="L184" s="19"/>
    </row>
    <row r="185" spans="1:12" x14ac:dyDescent="0.25">
      <c r="A185" s="12" t="str">
        <f t="shared" si="7"/>
        <v>921</v>
      </c>
      <c r="B185" s="12">
        <v>9</v>
      </c>
      <c r="C185" s="12" t="s">
        <v>9</v>
      </c>
      <c r="D185" s="17">
        <v>21</v>
      </c>
      <c r="E185" s="18" t="s">
        <v>185</v>
      </c>
      <c r="F185" s="19" t="s">
        <v>281</v>
      </c>
      <c r="G185" s="25">
        <v>7500</v>
      </c>
      <c r="H185" s="16">
        <f>IF(D185=0,0,Tabla2[[#This Row],[VOTOS CANDIDATOS]])</f>
        <v>7500</v>
      </c>
      <c r="J185" s="19">
        <f t="shared" si="9"/>
        <v>7500</v>
      </c>
      <c r="K185" s="16" t="str">
        <f>IF(Tabla2[[#This Row],[VOTOS]]&gt;=Tabla2[[#This Row],[K&gt;]],"ELEGIDO","NO ELEGIDO")</f>
        <v>ELEGIDO</v>
      </c>
      <c r="L185" s="19"/>
    </row>
    <row r="186" spans="1:12" s="1" customFormat="1" ht="18.75" x14ac:dyDescent="0.3">
      <c r="A186" s="12" t="str">
        <f t="shared" si="7"/>
        <v>100</v>
      </c>
      <c r="B186" s="12">
        <v>10</v>
      </c>
      <c r="C186" s="12" t="s">
        <v>10</v>
      </c>
      <c r="D186" s="20">
        <v>0</v>
      </c>
      <c r="E186" s="16" t="s">
        <v>10</v>
      </c>
      <c r="F186" s="19"/>
      <c r="G186" s="42">
        <f>PARTIDO_POLO_DEMOCRATICO_ALTERNATIVO-SUM(G187:G202)</f>
        <v>440</v>
      </c>
      <c r="H186" s="16">
        <f>IF(D186=0,0,Tabla2[[#This Row],[VOTOS CANDIDATOS]])</f>
        <v>0</v>
      </c>
      <c r="I186" s="22">
        <f>CIFCAL!AC11</f>
        <v>1</v>
      </c>
      <c r="J186" s="16">
        <f>LARGE(H186:H202,Tabla2[[#This Row],[CURULES]])</f>
        <v>11500</v>
      </c>
      <c r="K186" s="16"/>
      <c r="L186" s="16"/>
    </row>
    <row r="187" spans="1:12" x14ac:dyDescent="0.25">
      <c r="A187" s="12" t="str">
        <f t="shared" si="7"/>
        <v>101</v>
      </c>
      <c r="B187" s="12">
        <v>10</v>
      </c>
      <c r="C187" s="12" t="s">
        <v>10</v>
      </c>
      <c r="D187" s="17">
        <v>1</v>
      </c>
      <c r="E187" s="18" t="s">
        <v>186</v>
      </c>
      <c r="F187" s="19" t="s">
        <v>282</v>
      </c>
      <c r="G187" s="25">
        <v>11500</v>
      </c>
      <c r="H187" s="16">
        <f>IF(D187=0,0,Tabla2[[#This Row],[VOTOS CANDIDATOS]])</f>
        <v>11500</v>
      </c>
      <c r="J187" s="19">
        <f>J186</f>
        <v>11500</v>
      </c>
      <c r="K187" s="16" t="str">
        <f>IF(Tabla2[[#This Row],[VOTOS]]&gt;=Tabla2[[#This Row],[K&gt;]],"ELEGIDO","NO ELEGIDO")</f>
        <v>ELEGIDO</v>
      </c>
      <c r="L187" s="19"/>
    </row>
    <row r="188" spans="1:12" x14ac:dyDescent="0.25">
      <c r="A188" s="12" t="str">
        <f t="shared" si="7"/>
        <v>102</v>
      </c>
      <c r="B188" s="12">
        <v>10</v>
      </c>
      <c r="C188" s="12" t="s">
        <v>10</v>
      </c>
      <c r="D188" s="17">
        <v>2</v>
      </c>
      <c r="E188" s="18" t="s">
        <v>187</v>
      </c>
      <c r="F188" s="19" t="s">
        <v>282</v>
      </c>
      <c r="G188" s="25">
        <v>2369</v>
      </c>
      <c r="H188" s="16">
        <f>IF(D188=0,0,Tabla2[[#This Row],[VOTOS CANDIDATOS]])</f>
        <v>2369</v>
      </c>
      <c r="J188" s="19">
        <f t="shared" ref="J188:J202" si="10">J187</f>
        <v>11500</v>
      </c>
      <c r="K188" s="16" t="str">
        <f>IF(Tabla2[[#This Row],[VOTOS]]&gt;=Tabla2[[#This Row],[K&gt;]],"ELEGIDO","NO ELEGIDO")</f>
        <v>NO ELEGIDO</v>
      </c>
      <c r="L188" s="19"/>
    </row>
    <row r="189" spans="1:12" x14ac:dyDescent="0.25">
      <c r="A189" s="12" t="str">
        <f t="shared" si="7"/>
        <v>103</v>
      </c>
      <c r="B189" s="12">
        <v>10</v>
      </c>
      <c r="C189" s="12" t="s">
        <v>10</v>
      </c>
      <c r="D189" s="17">
        <v>3</v>
      </c>
      <c r="E189" s="18" t="s">
        <v>188</v>
      </c>
      <c r="F189" s="19" t="s">
        <v>281</v>
      </c>
      <c r="G189" s="25">
        <v>12</v>
      </c>
      <c r="H189" s="16">
        <f>IF(D189=0,0,Tabla2[[#This Row],[VOTOS CANDIDATOS]])</f>
        <v>12</v>
      </c>
      <c r="J189" s="19">
        <f t="shared" si="10"/>
        <v>11500</v>
      </c>
      <c r="K189" s="16" t="str">
        <f>IF(Tabla2[[#This Row],[VOTOS]]&gt;=Tabla2[[#This Row],[K&gt;]],"ELEGIDO","NO ELEGIDO")</f>
        <v>NO ELEGIDO</v>
      </c>
      <c r="L189" s="19"/>
    </row>
    <row r="190" spans="1:12" x14ac:dyDescent="0.25">
      <c r="A190" s="12" t="str">
        <f t="shared" si="7"/>
        <v>104</v>
      </c>
      <c r="B190" s="12">
        <v>10</v>
      </c>
      <c r="C190" s="12" t="s">
        <v>10</v>
      </c>
      <c r="D190" s="17">
        <v>4</v>
      </c>
      <c r="E190" s="18" t="s">
        <v>189</v>
      </c>
      <c r="F190" s="19" t="s">
        <v>281</v>
      </c>
      <c r="G190" s="25">
        <v>898</v>
      </c>
      <c r="H190" s="16">
        <f>IF(D190=0,0,Tabla2[[#This Row],[VOTOS CANDIDATOS]])</f>
        <v>898</v>
      </c>
      <c r="J190" s="19">
        <f t="shared" si="10"/>
        <v>11500</v>
      </c>
      <c r="K190" s="16" t="str">
        <f>IF(Tabla2[[#This Row],[VOTOS]]&gt;=Tabla2[[#This Row],[K&gt;]],"ELEGIDO","NO ELEGIDO")</f>
        <v>NO ELEGIDO</v>
      </c>
      <c r="L190" s="19"/>
    </row>
    <row r="191" spans="1:12" x14ac:dyDescent="0.25">
      <c r="A191" s="12" t="str">
        <f t="shared" si="7"/>
        <v>105</v>
      </c>
      <c r="B191" s="12">
        <v>10</v>
      </c>
      <c r="C191" s="12" t="s">
        <v>10</v>
      </c>
      <c r="D191" s="17">
        <v>5</v>
      </c>
      <c r="E191" s="18" t="s">
        <v>190</v>
      </c>
      <c r="F191" s="19" t="s">
        <v>281</v>
      </c>
      <c r="G191" s="25">
        <v>25</v>
      </c>
      <c r="H191" s="16">
        <f>IF(D191=0,0,Tabla2[[#This Row],[VOTOS CANDIDATOS]])</f>
        <v>25</v>
      </c>
      <c r="J191" s="19">
        <f t="shared" si="10"/>
        <v>11500</v>
      </c>
      <c r="K191" s="16" t="str">
        <f>IF(Tabla2[[#This Row],[VOTOS]]&gt;=Tabla2[[#This Row],[K&gt;]],"ELEGIDO","NO ELEGIDO")</f>
        <v>NO ELEGIDO</v>
      </c>
      <c r="L191" s="19"/>
    </row>
    <row r="192" spans="1:12" x14ac:dyDescent="0.25">
      <c r="A192" s="12" t="str">
        <f t="shared" si="7"/>
        <v>106</v>
      </c>
      <c r="B192" s="12">
        <v>10</v>
      </c>
      <c r="C192" s="12" t="s">
        <v>10</v>
      </c>
      <c r="D192" s="17">
        <v>6</v>
      </c>
      <c r="E192" s="18" t="s">
        <v>191</v>
      </c>
      <c r="F192" s="19" t="s">
        <v>281</v>
      </c>
      <c r="G192" s="25">
        <v>117</v>
      </c>
      <c r="H192" s="16">
        <f>IF(D192=0,0,Tabla2[[#This Row],[VOTOS CANDIDATOS]])</f>
        <v>117</v>
      </c>
      <c r="J192" s="19">
        <f t="shared" si="10"/>
        <v>11500</v>
      </c>
      <c r="K192" s="16" t="str">
        <f>IF(Tabla2[[#This Row],[VOTOS]]&gt;=Tabla2[[#This Row],[K&gt;]],"ELEGIDO","NO ELEGIDO")</f>
        <v>NO ELEGIDO</v>
      </c>
      <c r="L192" s="19"/>
    </row>
    <row r="193" spans="1:12" x14ac:dyDescent="0.25">
      <c r="A193" s="12" t="str">
        <f t="shared" si="7"/>
        <v>107</v>
      </c>
      <c r="B193" s="12">
        <v>10</v>
      </c>
      <c r="C193" s="12" t="s">
        <v>10</v>
      </c>
      <c r="D193" s="17">
        <v>7</v>
      </c>
      <c r="E193" s="18" t="s">
        <v>192</v>
      </c>
      <c r="F193" s="19" t="s">
        <v>281</v>
      </c>
      <c r="G193" s="25">
        <v>598</v>
      </c>
      <c r="H193" s="16">
        <f>IF(D193=0,0,Tabla2[[#This Row],[VOTOS CANDIDATOS]])</f>
        <v>598</v>
      </c>
      <c r="J193" s="19">
        <f t="shared" si="10"/>
        <v>11500</v>
      </c>
      <c r="K193" s="16" t="str">
        <f>IF(Tabla2[[#This Row],[VOTOS]]&gt;=Tabla2[[#This Row],[K&gt;]],"ELEGIDO","NO ELEGIDO")</f>
        <v>NO ELEGIDO</v>
      </c>
      <c r="L193" s="19"/>
    </row>
    <row r="194" spans="1:12" x14ac:dyDescent="0.25">
      <c r="A194" s="12" t="str">
        <f t="shared" si="7"/>
        <v>108</v>
      </c>
      <c r="B194" s="12">
        <v>10</v>
      </c>
      <c r="C194" s="12" t="s">
        <v>10</v>
      </c>
      <c r="D194" s="17">
        <v>8</v>
      </c>
      <c r="E194" s="18" t="s">
        <v>193</v>
      </c>
      <c r="F194" s="19" t="s">
        <v>281</v>
      </c>
      <c r="G194" s="25">
        <v>1</v>
      </c>
      <c r="H194" s="16">
        <f>IF(D194=0,0,Tabla2[[#This Row],[VOTOS CANDIDATOS]])</f>
        <v>1</v>
      </c>
      <c r="J194" s="19">
        <f t="shared" si="10"/>
        <v>11500</v>
      </c>
      <c r="K194" s="16" t="str">
        <f>IF(Tabla2[[#This Row],[VOTOS]]&gt;=Tabla2[[#This Row],[K&gt;]],"ELEGIDO","NO ELEGIDO")</f>
        <v>NO ELEGIDO</v>
      </c>
      <c r="L194" s="19"/>
    </row>
    <row r="195" spans="1:12" x14ac:dyDescent="0.25">
      <c r="A195" s="12" t="str">
        <f t="shared" si="7"/>
        <v>109</v>
      </c>
      <c r="B195" s="12">
        <v>10</v>
      </c>
      <c r="C195" s="12" t="s">
        <v>10</v>
      </c>
      <c r="D195" s="17">
        <v>9</v>
      </c>
      <c r="E195" s="18" t="s">
        <v>194</v>
      </c>
      <c r="F195" s="19" t="s">
        <v>281</v>
      </c>
      <c r="G195" s="25">
        <v>11</v>
      </c>
      <c r="H195" s="16">
        <f>IF(D195=0,0,Tabla2[[#This Row],[VOTOS CANDIDATOS]])</f>
        <v>11</v>
      </c>
      <c r="J195" s="19">
        <f t="shared" si="10"/>
        <v>11500</v>
      </c>
      <c r="K195" s="16" t="str">
        <f>IF(Tabla2[[#This Row],[VOTOS]]&gt;=Tabla2[[#This Row],[K&gt;]],"ELEGIDO","NO ELEGIDO")</f>
        <v>NO ELEGIDO</v>
      </c>
      <c r="L195" s="19"/>
    </row>
    <row r="196" spans="1:12" x14ac:dyDescent="0.25">
      <c r="A196" s="12" t="str">
        <f t="shared" si="7"/>
        <v>1010</v>
      </c>
      <c r="B196" s="12">
        <v>10</v>
      </c>
      <c r="C196" s="12" t="s">
        <v>10</v>
      </c>
      <c r="D196" s="17">
        <v>10</v>
      </c>
      <c r="E196" s="18" t="s">
        <v>195</v>
      </c>
      <c r="F196" s="19" t="s">
        <v>281</v>
      </c>
      <c r="G196" s="25">
        <v>114</v>
      </c>
      <c r="H196" s="16">
        <f>IF(D196=0,0,Tabla2[[#This Row],[VOTOS CANDIDATOS]])</f>
        <v>114</v>
      </c>
      <c r="J196" s="19">
        <f t="shared" si="10"/>
        <v>11500</v>
      </c>
      <c r="K196" s="16" t="str">
        <f>IF(Tabla2[[#This Row],[VOTOS]]&gt;=Tabla2[[#This Row],[K&gt;]],"ELEGIDO","NO ELEGIDO")</f>
        <v>NO ELEGIDO</v>
      </c>
      <c r="L196" s="19"/>
    </row>
    <row r="197" spans="1:12" x14ac:dyDescent="0.25">
      <c r="A197" s="12" t="str">
        <f t="shared" si="7"/>
        <v>1011</v>
      </c>
      <c r="B197" s="12">
        <v>10</v>
      </c>
      <c r="C197" s="12" t="s">
        <v>10</v>
      </c>
      <c r="D197" s="17">
        <v>11</v>
      </c>
      <c r="E197" s="18" t="s">
        <v>196</v>
      </c>
      <c r="F197" s="19" t="s">
        <v>282</v>
      </c>
      <c r="G197" s="25">
        <v>411</v>
      </c>
      <c r="H197" s="16">
        <f>IF(D197=0,0,Tabla2[[#This Row],[VOTOS CANDIDATOS]])</f>
        <v>411</v>
      </c>
      <c r="J197" s="19">
        <f t="shared" si="10"/>
        <v>11500</v>
      </c>
      <c r="K197" s="16" t="str">
        <f>IF(Tabla2[[#This Row],[VOTOS]]&gt;=Tabla2[[#This Row],[K&gt;]],"ELEGIDO","NO ELEGIDO")</f>
        <v>NO ELEGIDO</v>
      </c>
      <c r="L197" s="19"/>
    </row>
    <row r="198" spans="1:12" x14ac:dyDescent="0.25">
      <c r="A198" s="12" t="str">
        <f t="shared" si="7"/>
        <v>1012</v>
      </c>
      <c r="B198" s="12">
        <v>10</v>
      </c>
      <c r="C198" s="12" t="s">
        <v>10</v>
      </c>
      <c r="D198" s="17">
        <v>12</v>
      </c>
      <c r="E198" s="18" t="s">
        <v>197</v>
      </c>
      <c r="F198" s="19" t="s">
        <v>281</v>
      </c>
      <c r="G198" s="25">
        <v>2</v>
      </c>
      <c r="H198" s="16">
        <f>IF(D198=0,0,Tabla2[[#This Row],[VOTOS CANDIDATOS]])</f>
        <v>2</v>
      </c>
      <c r="J198" s="19">
        <f t="shared" si="10"/>
        <v>11500</v>
      </c>
      <c r="K198" s="16" t="str">
        <f>IF(Tabla2[[#This Row],[VOTOS]]&gt;=Tabla2[[#This Row],[K&gt;]],"ELEGIDO","NO ELEGIDO")</f>
        <v>NO ELEGIDO</v>
      </c>
      <c r="L198" s="19"/>
    </row>
    <row r="199" spans="1:12" x14ac:dyDescent="0.25">
      <c r="A199" s="12" t="str">
        <f t="shared" si="7"/>
        <v>1013</v>
      </c>
      <c r="B199" s="12">
        <v>10</v>
      </c>
      <c r="C199" s="12" t="s">
        <v>10</v>
      </c>
      <c r="D199" s="17">
        <v>13</v>
      </c>
      <c r="E199" s="18" t="s">
        <v>198</v>
      </c>
      <c r="F199" s="19" t="s">
        <v>281</v>
      </c>
      <c r="G199" s="25">
        <v>35</v>
      </c>
      <c r="H199" s="16">
        <f>IF(D199=0,0,Tabla2[[#This Row],[VOTOS CANDIDATOS]])</f>
        <v>35</v>
      </c>
      <c r="J199" s="19">
        <f t="shared" si="10"/>
        <v>11500</v>
      </c>
      <c r="K199" s="16" t="str">
        <f>IF(Tabla2[[#This Row],[VOTOS]]&gt;=Tabla2[[#This Row],[K&gt;]],"ELEGIDO","NO ELEGIDO")</f>
        <v>NO ELEGIDO</v>
      </c>
      <c r="L199" s="19"/>
    </row>
    <row r="200" spans="1:12" x14ac:dyDescent="0.25">
      <c r="A200" s="12" t="str">
        <f t="shared" si="7"/>
        <v>1014</v>
      </c>
      <c r="B200" s="12">
        <v>10</v>
      </c>
      <c r="C200" s="12" t="s">
        <v>10</v>
      </c>
      <c r="D200" s="17">
        <v>14</v>
      </c>
      <c r="E200" s="18" t="s">
        <v>199</v>
      </c>
      <c r="F200" s="19" t="s">
        <v>282</v>
      </c>
      <c r="G200" s="25">
        <v>4540</v>
      </c>
      <c r="H200" s="16">
        <f>IF(D200=0,0,Tabla2[[#This Row],[VOTOS CANDIDATOS]])</f>
        <v>4540</v>
      </c>
      <c r="J200" s="19">
        <f t="shared" si="10"/>
        <v>11500</v>
      </c>
      <c r="K200" s="16" t="str">
        <f>IF(Tabla2[[#This Row],[VOTOS]]&gt;=Tabla2[[#This Row],[K&gt;]],"ELEGIDO","NO ELEGIDO")</f>
        <v>NO ELEGIDO</v>
      </c>
      <c r="L200" s="19"/>
    </row>
    <row r="201" spans="1:12" x14ac:dyDescent="0.25">
      <c r="A201" s="12" t="str">
        <f t="shared" ref="A201:A246" si="11">CONCATENATE(B201,D201)</f>
        <v>1015</v>
      </c>
      <c r="B201" s="12">
        <v>10</v>
      </c>
      <c r="C201" s="12" t="s">
        <v>10</v>
      </c>
      <c r="D201" s="17">
        <v>15</v>
      </c>
      <c r="E201" s="18" t="s">
        <v>200</v>
      </c>
      <c r="F201" s="19" t="s">
        <v>282</v>
      </c>
      <c r="G201" s="25">
        <v>29</v>
      </c>
      <c r="H201" s="16">
        <f>IF(D201=0,0,Tabla2[[#This Row],[VOTOS CANDIDATOS]])</f>
        <v>29</v>
      </c>
      <c r="J201" s="19">
        <f t="shared" si="10"/>
        <v>11500</v>
      </c>
      <c r="K201" s="16" t="str">
        <f>IF(Tabla2[[#This Row],[VOTOS]]&gt;=Tabla2[[#This Row],[K&gt;]],"ELEGIDO","NO ELEGIDO")</f>
        <v>NO ELEGIDO</v>
      </c>
      <c r="L201" s="19"/>
    </row>
    <row r="202" spans="1:12" x14ac:dyDescent="0.25">
      <c r="A202" s="12" t="str">
        <f t="shared" si="11"/>
        <v>1016</v>
      </c>
      <c r="B202" s="12">
        <v>10</v>
      </c>
      <c r="C202" s="12" t="s">
        <v>10</v>
      </c>
      <c r="D202" s="17">
        <v>16</v>
      </c>
      <c r="E202" s="18" t="s">
        <v>201</v>
      </c>
      <c r="F202" s="19" t="s">
        <v>282</v>
      </c>
      <c r="G202" s="25">
        <v>1008</v>
      </c>
      <c r="H202" s="16">
        <f>IF(D202=0,0,Tabla2[[#This Row],[VOTOS CANDIDATOS]])</f>
        <v>1008</v>
      </c>
      <c r="J202" s="19">
        <f t="shared" si="10"/>
        <v>11500</v>
      </c>
      <c r="K202" s="16" t="str">
        <f>IF(Tabla2[[#This Row],[VOTOS]]&gt;=Tabla2[[#This Row],[K&gt;]],"ELEGIDO","NO ELEGIDO")</f>
        <v>NO ELEGIDO</v>
      </c>
      <c r="L202" s="19"/>
    </row>
    <row r="203" spans="1:12" s="1" customFormat="1" ht="18.75" x14ac:dyDescent="0.3">
      <c r="A203" s="12" t="str">
        <f t="shared" si="11"/>
        <v>110</v>
      </c>
      <c r="B203" s="12">
        <v>11</v>
      </c>
      <c r="C203" s="12" t="s">
        <v>11</v>
      </c>
      <c r="D203" s="20">
        <v>0</v>
      </c>
      <c r="E203" s="16" t="s">
        <v>11</v>
      </c>
      <c r="F203" s="19"/>
      <c r="G203" s="42">
        <f>PARTIDO_OPCION_CIUDADANA-SUM(G204:G224)</f>
        <v>-18445</v>
      </c>
      <c r="H203" s="16">
        <f>IF(D203=0,0,Tabla2[[#This Row],[VOTOS CANDIDATOS]])</f>
        <v>0</v>
      </c>
      <c r="I203" s="22">
        <f>CIFCAL!AC12</f>
        <v>0</v>
      </c>
      <c r="J203" s="16" t="e">
        <f>LARGE(H203:H224,Tabla2[[#This Row],[CURULES]])</f>
        <v>#NUM!</v>
      </c>
      <c r="K203" s="16"/>
      <c r="L203" s="16"/>
    </row>
    <row r="204" spans="1:12" x14ac:dyDescent="0.25">
      <c r="A204" s="12" t="str">
        <f t="shared" si="11"/>
        <v>111</v>
      </c>
      <c r="B204" s="12">
        <v>11</v>
      </c>
      <c r="C204" s="12" t="s">
        <v>11</v>
      </c>
      <c r="D204" s="17">
        <v>1</v>
      </c>
      <c r="E204" s="18" t="s">
        <v>202</v>
      </c>
      <c r="F204" s="19" t="s">
        <v>281</v>
      </c>
      <c r="G204" s="25">
        <v>9899</v>
      </c>
      <c r="H204" s="16">
        <f>IF(D204=0,0,Tabla2[[#This Row],[VOTOS CANDIDATOS]])</f>
        <v>9899</v>
      </c>
      <c r="J204" s="19" t="e">
        <f>J203</f>
        <v>#NUM!</v>
      </c>
      <c r="K204" s="16" t="e">
        <f>IF(Tabla2[[#This Row],[VOTOS]]&gt;=Tabla2[[#This Row],[K&gt;]],"ELEGIDO","NO ELEGIDO")</f>
        <v>#NUM!</v>
      </c>
      <c r="L204" s="19"/>
    </row>
    <row r="205" spans="1:12" x14ac:dyDescent="0.25">
      <c r="A205" s="12" t="str">
        <f t="shared" si="11"/>
        <v>112</v>
      </c>
      <c r="B205" s="12">
        <v>11</v>
      </c>
      <c r="C205" s="12" t="s">
        <v>11</v>
      </c>
      <c r="D205" s="17">
        <v>2</v>
      </c>
      <c r="E205" s="18" t="s">
        <v>203</v>
      </c>
      <c r="F205" s="19" t="s">
        <v>281</v>
      </c>
      <c r="G205" s="25">
        <v>2500</v>
      </c>
      <c r="H205" s="16">
        <f>IF(D205=0,0,Tabla2[[#This Row],[VOTOS CANDIDATOS]])</f>
        <v>2500</v>
      </c>
      <c r="J205" s="19" t="e">
        <f t="shared" ref="J205:J224" si="12">J204</f>
        <v>#NUM!</v>
      </c>
      <c r="K205" s="16" t="e">
        <f>IF(Tabla2[[#This Row],[VOTOS]]&gt;=Tabla2[[#This Row],[K&gt;]],"ELEGIDO","NO ELEGIDO")</f>
        <v>#NUM!</v>
      </c>
      <c r="L205" s="19"/>
    </row>
    <row r="206" spans="1:12" x14ac:dyDescent="0.25">
      <c r="A206" s="12" t="str">
        <f t="shared" si="11"/>
        <v>113</v>
      </c>
      <c r="B206" s="12">
        <v>11</v>
      </c>
      <c r="C206" s="12" t="s">
        <v>11</v>
      </c>
      <c r="D206" s="17">
        <v>3</v>
      </c>
      <c r="E206" s="18" t="s">
        <v>204</v>
      </c>
      <c r="F206" s="19" t="s">
        <v>281</v>
      </c>
      <c r="G206" s="25">
        <v>789</v>
      </c>
      <c r="H206" s="16">
        <f>IF(D206=0,0,Tabla2[[#This Row],[VOTOS CANDIDATOS]])</f>
        <v>789</v>
      </c>
      <c r="J206" s="19" t="e">
        <f t="shared" si="12"/>
        <v>#NUM!</v>
      </c>
      <c r="K206" s="16" t="e">
        <f>IF(Tabla2[[#This Row],[VOTOS]]&gt;=Tabla2[[#This Row],[K&gt;]],"ELEGIDO","NO ELEGIDO")</f>
        <v>#NUM!</v>
      </c>
      <c r="L206" s="19"/>
    </row>
    <row r="207" spans="1:12" x14ac:dyDescent="0.25">
      <c r="A207" s="12" t="str">
        <f t="shared" si="11"/>
        <v>114</v>
      </c>
      <c r="B207" s="12">
        <v>11</v>
      </c>
      <c r="C207" s="12" t="s">
        <v>11</v>
      </c>
      <c r="D207" s="17">
        <v>4</v>
      </c>
      <c r="E207" s="18" t="s">
        <v>205</v>
      </c>
      <c r="F207" s="19" t="s">
        <v>281</v>
      </c>
      <c r="G207" s="25">
        <v>1456</v>
      </c>
      <c r="H207" s="16">
        <f>IF(D207=0,0,Tabla2[[#This Row],[VOTOS CANDIDATOS]])</f>
        <v>1456</v>
      </c>
      <c r="J207" s="19" t="e">
        <f t="shared" si="12"/>
        <v>#NUM!</v>
      </c>
      <c r="K207" s="16" t="e">
        <f>IF(Tabla2[[#This Row],[VOTOS]]&gt;=Tabla2[[#This Row],[K&gt;]],"ELEGIDO","NO ELEGIDO")</f>
        <v>#NUM!</v>
      </c>
      <c r="L207" s="19"/>
    </row>
    <row r="208" spans="1:12" x14ac:dyDescent="0.25">
      <c r="A208" s="12" t="str">
        <f t="shared" si="11"/>
        <v>115</v>
      </c>
      <c r="B208" s="12">
        <v>11</v>
      </c>
      <c r="C208" s="12" t="s">
        <v>11</v>
      </c>
      <c r="D208" s="17">
        <v>5</v>
      </c>
      <c r="E208" s="18" t="s">
        <v>206</v>
      </c>
      <c r="F208" s="19" t="s">
        <v>281</v>
      </c>
      <c r="G208" s="25">
        <v>798</v>
      </c>
      <c r="H208" s="16">
        <f>IF(D208=0,0,Tabla2[[#This Row],[VOTOS CANDIDATOS]])</f>
        <v>798</v>
      </c>
      <c r="J208" s="19" t="e">
        <f t="shared" si="12"/>
        <v>#NUM!</v>
      </c>
      <c r="K208" s="16" t="e">
        <f>IF(Tabla2[[#This Row],[VOTOS]]&gt;=Tabla2[[#This Row],[K&gt;]],"ELEGIDO","NO ELEGIDO")</f>
        <v>#NUM!</v>
      </c>
      <c r="L208" s="19"/>
    </row>
    <row r="209" spans="1:12" x14ac:dyDescent="0.25">
      <c r="A209" s="12" t="str">
        <f t="shared" si="11"/>
        <v>116</v>
      </c>
      <c r="B209" s="12">
        <v>11</v>
      </c>
      <c r="C209" s="12" t="s">
        <v>11</v>
      </c>
      <c r="D209" s="17">
        <v>6</v>
      </c>
      <c r="E209" s="18" t="s">
        <v>207</v>
      </c>
      <c r="F209" s="19" t="s">
        <v>281</v>
      </c>
      <c r="G209" s="25">
        <v>258</v>
      </c>
      <c r="H209" s="16">
        <f>IF(D209=0,0,Tabla2[[#This Row],[VOTOS CANDIDATOS]])</f>
        <v>258</v>
      </c>
      <c r="J209" s="19" t="e">
        <f t="shared" si="12"/>
        <v>#NUM!</v>
      </c>
      <c r="K209" s="16" t="e">
        <f>IF(Tabla2[[#This Row],[VOTOS]]&gt;=Tabla2[[#This Row],[K&gt;]],"ELEGIDO","NO ELEGIDO")</f>
        <v>#NUM!</v>
      </c>
      <c r="L209" s="19"/>
    </row>
    <row r="210" spans="1:12" x14ac:dyDescent="0.25">
      <c r="A210" s="12" t="str">
        <f t="shared" si="11"/>
        <v>117</v>
      </c>
      <c r="B210" s="12">
        <v>11</v>
      </c>
      <c r="C210" s="12" t="s">
        <v>11</v>
      </c>
      <c r="D210" s="17">
        <v>7</v>
      </c>
      <c r="E210" s="18" t="s">
        <v>208</v>
      </c>
      <c r="F210" s="19" t="s">
        <v>281</v>
      </c>
      <c r="G210" s="25">
        <v>1120</v>
      </c>
      <c r="H210" s="16">
        <f>IF(D210=0,0,Tabla2[[#This Row],[VOTOS CANDIDATOS]])</f>
        <v>1120</v>
      </c>
      <c r="J210" s="19" t="e">
        <f t="shared" si="12"/>
        <v>#NUM!</v>
      </c>
      <c r="K210" s="16" t="e">
        <f>IF(Tabla2[[#This Row],[VOTOS]]&gt;=Tabla2[[#This Row],[K&gt;]],"ELEGIDO","NO ELEGIDO")</f>
        <v>#NUM!</v>
      </c>
      <c r="L210" s="19"/>
    </row>
    <row r="211" spans="1:12" x14ac:dyDescent="0.25">
      <c r="A211" s="12" t="str">
        <f t="shared" si="11"/>
        <v>118</v>
      </c>
      <c r="B211" s="12">
        <v>11</v>
      </c>
      <c r="C211" s="12" t="s">
        <v>11</v>
      </c>
      <c r="D211" s="17">
        <v>8</v>
      </c>
      <c r="E211" s="18" t="s">
        <v>209</v>
      </c>
      <c r="F211" s="19" t="s">
        <v>281</v>
      </c>
      <c r="G211" s="25">
        <v>30</v>
      </c>
      <c r="H211" s="16">
        <f>IF(D211=0,0,Tabla2[[#This Row],[VOTOS CANDIDATOS]])</f>
        <v>30</v>
      </c>
      <c r="J211" s="19" t="e">
        <f t="shared" si="12"/>
        <v>#NUM!</v>
      </c>
      <c r="K211" s="16" t="e">
        <f>IF(Tabla2[[#This Row],[VOTOS]]&gt;=Tabla2[[#This Row],[K&gt;]],"ELEGIDO","NO ELEGIDO")</f>
        <v>#NUM!</v>
      </c>
      <c r="L211" s="19"/>
    </row>
    <row r="212" spans="1:12" x14ac:dyDescent="0.25">
      <c r="A212" s="12" t="str">
        <f t="shared" si="11"/>
        <v>119</v>
      </c>
      <c r="B212" s="12">
        <v>11</v>
      </c>
      <c r="C212" s="12" t="s">
        <v>11</v>
      </c>
      <c r="D212" s="17">
        <v>9</v>
      </c>
      <c r="E212" s="18" t="s">
        <v>210</v>
      </c>
      <c r="F212" s="19" t="s">
        <v>281</v>
      </c>
      <c r="G212" s="25">
        <v>56</v>
      </c>
      <c r="H212" s="16">
        <f>IF(D212=0,0,Tabla2[[#This Row],[VOTOS CANDIDATOS]])</f>
        <v>56</v>
      </c>
      <c r="J212" s="19" t="e">
        <f t="shared" si="12"/>
        <v>#NUM!</v>
      </c>
      <c r="K212" s="16" t="e">
        <f>IF(Tabla2[[#This Row],[VOTOS]]&gt;=Tabla2[[#This Row],[K&gt;]],"ELEGIDO","NO ELEGIDO")</f>
        <v>#NUM!</v>
      </c>
      <c r="L212" s="19"/>
    </row>
    <row r="213" spans="1:12" x14ac:dyDescent="0.25">
      <c r="A213" s="12" t="str">
        <f t="shared" si="11"/>
        <v>1110</v>
      </c>
      <c r="B213" s="12">
        <v>11</v>
      </c>
      <c r="C213" s="12" t="s">
        <v>11</v>
      </c>
      <c r="D213" s="17">
        <v>10</v>
      </c>
      <c r="E213" s="18" t="s">
        <v>211</v>
      </c>
      <c r="F213" s="19" t="s">
        <v>281</v>
      </c>
      <c r="G213" s="25">
        <v>99</v>
      </c>
      <c r="H213" s="16">
        <f>IF(D213=0,0,Tabla2[[#This Row],[VOTOS CANDIDATOS]])</f>
        <v>99</v>
      </c>
      <c r="J213" s="19" t="e">
        <f t="shared" si="12"/>
        <v>#NUM!</v>
      </c>
      <c r="K213" s="16" t="e">
        <f>IF(Tabla2[[#This Row],[VOTOS]]&gt;=Tabla2[[#This Row],[K&gt;]],"ELEGIDO","NO ELEGIDO")</f>
        <v>#NUM!</v>
      </c>
      <c r="L213" s="19"/>
    </row>
    <row r="214" spans="1:12" x14ac:dyDescent="0.25">
      <c r="A214" s="12" t="str">
        <f t="shared" si="11"/>
        <v>1111</v>
      </c>
      <c r="B214" s="12">
        <v>11</v>
      </c>
      <c r="C214" s="12" t="s">
        <v>11</v>
      </c>
      <c r="D214" s="17">
        <v>11</v>
      </c>
      <c r="E214" s="18" t="s">
        <v>212</v>
      </c>
      <c r="F214" s="19" t="s">
        <v>281</v>
      </c>
      <c r="G214" s="25">
        <v>54</v>
      </c>
      <c r="H214" s="16">
        <f>IF(D214=0,0,Tabla2[[#This Row],[VOTOS CANDIDATOS]])</f>
        <v>54</v>
      </c>
      <c r="J214" s="19" t="e">
        <f t="shared" si="12"/>
        <v>#NUM!</v>
      </c>
      <c r="K214" s="16" t="e">
        <f>IF(Tabla2[[#This Row],[VOTOS]]&gt;=Tabla2[[#This Row],[K&gt;]],"ELEGIDO","NO ELEGIDO")</f>
        <v>#NUM!</v>
      </c>
      <c r="L214" s="19"/>
    </row>
    <row r="215" spans="1:12" x14ac:dyDescent="0.25">
      <c r="A215" s="12" t="str">
        <f t="shared" si="11"/>
        <v>1112</v>
      </c>
      <c r="B215" s="12">
        <v>11</v>
      </c>
      <c r="C215" s="12" t="s">
        <v>11</v>
      </c>
      <c r="D215" s="17">
        <v>12</v>
      </c>
      <c r="E215" s="18" t="s">
        <v>213</v>
      </c>
      <c r="F215" s="19" t="s">
        <v>281</v>
      </c>
      <c r="G215" s="25">
        <v>18</v>
      </c>
      <c r="H215" s="16">
        <f>IF(D215=0,0,Tabla2[[#This Row],[VOTOS CANDIDATOS]])</f>
        <v>18</v>
      </c>
      <c r="J215" s="19" t="e">
        <f t="shared" si="12"/>
        <v>#NUM!</v>
      </c>
      <c r="K215" s="16" t="e">
        <f>IF(Tabla2[[#This Row],[VOTOS]]&gt;=Tabla2[[#This Row],[K&gt;]],"ELEGIDO","NO ELEGIDO")</f>
        <v>#NUM!</v>
      </c>
      <c r="L215" s="19"/>
    </row>
    <row r="216" spans="1:12" x14ac:dyDescent="0.25">
      <c r="A216" s="12" t="str">
        <f t="shared" si="11"/>
        <v>1113</v>
      </c>
      <c r="B216" s="12">
        <v>11</v>
      </c>
      <c r="C216" s="12" t="s">
        <v>11</v>
      </c>
      <c r="D216" s="17">
        <v>13</v>
      </c>
      <c r="E216" s="18" t="s">
        <v>214</v>
      </c>
      <c r="F216" s="19" t="s">
        <v>282</v>
      </c>
      <c r="G216" s="25">
        <v>1478</v>
      </c>
      <c r="H216" s="16">
        <f>IF(D216=0,0,Tabla2[[#This Row],[VOTOS CANDIDATOS]])</f>
        <v>1478</v>
      </c>
      <c r="J216" s="19" t="e">
        <f t="shared" si="12"/>
        <v>#NUM!</v>
      </c>
      <c r="K216" s="16" t="e">
        <f>IF(Tabla2[[#This Row],[VOTOS]]&gt;=Tabla2[[#This Row],[K&gt;]],"ELEGIDO","NO ELEGIDO")</f>
        <v>#NUM!</v>
      </c>
      <c r="L216" s="19"/>
    </row>
    <row r="217" spans="1:12" x14ac:dyDescent="0.25">
      <c r="A217" s="12" t="str">
        <f t="shared" si="11"/>
        <v>1114</v>
      </c>
      <c r="B217" s="12">
        <v>11</v>
      </c>
      <c r="C217" s="12" t="s">
        <v>11</v>
      </c>
      <c r="D217" s="17">
        <v>14</v>
      </c>
      <c r="E217" s="18" t="s">
        <v>215</v>
      </c>
      <c r="F217" s="19" t="s">
        <v>281</v>
      </c>
      <c r="G217" s="25">
        <v>100</v>
      </c>
      <c r="H217" s="16">
        <f>IF(D217=0,0,Tabla2[[#This Row],[VOTOS CANDIDATOS]])</f>
        <v>100</v>
      </c>
      <c r="J217" s="19" t="e">
        <f t="shared" si="12"/>
        <v>#NUM!</v>
      </c>
      <c r="K217" s="16" t="e">
        <f>IF(Tabla2[[#This Row],[VOTOS]]&gt;=Tabla2[[#This Row],[K&gt;]],"ELEGIDO","NO ELEGIDO")</f>
        <v>#NUM!</v>
      </c>
      <c r="L217" s="19"/>
    </row>
    <row r="218" spans="1:12" x14ac:dyDescent="0.25">
      <c r="A218" s="12" t="str">
        <f t="shared" si="11"/>
        <v>1115</v>
      </c>
      <c r="B218" s="12">
        <v>11</v>
      </c>
      <c r="C218" s="12" t="s">
        <v>11</v>
      </c>
      <c r="D218" s="17">
        <v>15</v>
      </c>
      <c r="E218" s="18" t="s">
        <v>216</v>
      </c>
      <c r="F218" s="19" t="s">
        <v>282</v>
      </c>
      <c r="G218" s="25">
        <v>36</v>
      </c>
      <c r="H218" s="16">
        <f>IF(D218=0,0,Tabla2[[#This Row],[VOTOS CANDIDATOS]])</f>
        <v>36</v>
      </c>
      <c r="J218" s="19" t="e">
        <f t="shared" si="12"/>
        <v>#NUM!</v>
      </c>
      <c r="K218" s="16" t="e">
        <f>IF(Tabla2[[#This Row],[VOTOS]]&gt;=Tabla2[[#This Row],[K&gt;]],"ELEGIDO","NO ELEGIDO")</f>
        <v>#NUM!</v>
      </c>
      <c r="L218" s="19"/>
    </row>
    <row r="219" spans="1:12" x14ac:dyDescent="0.25">
      <c r="A219" s="12" t="str">
        <f t="shared" si="11"/>
        <v>1116</v>
      </c>
      <c r="B219" s="12">
        <v>11</v>
      </c>
      <c r="C219" s="12" t="s">
        <v>11</v>
      </c>
      <c r="D219" s="17">
        <v>16</v>
      </c>
      <c r="E219" s="18" t="s">
        <v>217</v>
      </c>
      <c r="F219" s="19" t="s">
        <v>282</v>
      </c>
      <c r="G219" s="25">
        <v>1456</v>
      </c>
      <c r="H219" s="16">
        <f>IF(D219=0,0,Tabla2[[#This Row],[VOTOS CANDIDATOS]])</f>
        <v>1456</v>
      </c>
      <c r="J219" s="19" t="e">
        <f t="shared" si="12"/>
        <v>#NUM!</v>
      </c>
      <c r="K219" s="16" t="e">
        <f>IF(Tabla2[[#This Row],[VOTOS]]&gt;=Tabla2[[#This Row],[K&gt;]],"ELEGIDO","NO ELEGIDO")</f>
        <v>#NUM!</v>
      </c>
      <c r="L219" s="19"/>
    </row>
    <row r="220" spans="1:12" x14ac:dyDescent="0.25">
      <c r="A220" s="12" t="str">
        <f t="shared" si="11"/>
        <v>1117</v>
      </c>
      <c r="B220" s="12">
        <v>11</v>
      </c>
      <c r="C220" s="12" t="s">
        <v>11</v>
      </c>
      <c r="D220" s="17">
        <v>17</v>
      </c>
      <c r="E220" s="18" t="s">
        <v>218</v>
      </c>
      <c r="F220" s="19" t="s">
        <v>282</v>
      </c>
      <c r="G220" s="25">
        <v>112</v>
      </c>
      <c r="H220" s="16">
        <f>IF(D220=0,0,Tabla2[[#This Row],[VOTOS CANDIDATOS]])</f>
        <v>112</v>
      </c>
      <c r="J220" s="19" t="e">
        <f t="shared" si="12"/>
        <v>#NUM!</v>
      </c>
      <c r="K220" s="16" t="e">
        <f>IF(Tabla2[[#This Row],[VOTOS]]&gt;=Tabla2[[#This Row],[K&gt;]],"ELEGIDO","NO ELEGIDO")</f>
        <v>#NUM!</v>
      </c>
      <c r="L220" s="19"/>
    </row>
    <row r="221" spans="1:12" x14ac:dyDescent="0.25">
      <c r="A221" s="12" t="str">
        <f t="shared" si="11"/>
        <v>1118</v>
      </c>
      <c r="B221" s="12">
        <v>11</v>
      </c>
      <c r="C221" s="12" t="s">
        <v>11</v>
      </c>
      <c r="D221" s="17">
        <v>18</v>
      </c>
      <c r="E221" s="18" t="s">
        <v>219</v>
      </c>
      <c r="F221" s="19" t="s">
        <v>282</v>
      </c>
      <c r="G221" s="25">
        <v>610</v>
      </c>
      <c r="H221" s="16">
        <f>IF(D221=0,0,Tabla2[[#This Row],[VOTOS CANDIDATOS]])</f>
        <v>610</v>
      </c>
      <c r="J221" s="19" t="e">
        <f t="shared" si="12"/>
        <v>#NUM!</v>
      </c>
      <c r="K221" s="16" t="e">
        <f>IF(Tabla2[[#This Row],[VOTOS]]&gt;=Tabla2[[#This Row],[K&gt;]],"ELEGIDO","NO ELEGIDO")</f>
        <v>#NUM!</v>
      </c>
      <c r="L221" s="19"/>
    </row>
    <row r="222" spans="1:12" x14ac:dyDescent="0.25">
      <c r="A222" s="12" t="str">
        <f t="shared" si="11"/>
        <v>1119</v>
      </c>
      <c r="B222" s="12">
        <v>11</v>
      </c>
      <c r="C222" s="12" t="s">
        <v>11</v>
      </c>
      <c r="D222" s="17">
        <v>19</v>
      </c>
      <c r="E222" s="18" t="s">
        <v>220</v>
      </c>
      <c r="F222" s="19" t="s">
        <v>282</v>
      </c>
      <c r="G222" s="25">
        <v>1000</v>
      </c>
      <c r="H222" s="16">
        <f>IF(D222=0,0,Tabla2[[#This Row],[VOTOS CANDIDATOS]])</f>
        <v>1000</v>
      </c>
      <c r="J222" s="19" t="e">
        <f t="shared" si="12"/>
        <v>#NUM!</v>
      </c>
      <c r="K222" s="16" t="e">
        <f>IF(Tabla2[[#This Row],[VOTOS]]&gt;=Tabla2[[#This Row],[K&gt;]],"ELEGIDO","NO ELEGIDO")</f>
        <v>#NUM!</v>
      </c>
      <c r="L222" s="19"/>
    </row>
    <row r="223" spans="1:12" x14ac:dyDescent="0.25">
      <c r="A223" s="12" t="str">
        <f t="shared" si="11"/>
        <v>1120</v>
      </c>
      <c r="B223" s="12">
        <v>11</v>
      </c>
      <c r="C223" s="12" t="s">
        <v>11</v>
      </c>
      <c r="D223" s="17">
        <v>20</v>
      </c>
      <c r="E223" s="18" t="s">
        <v>221</v>
      </c>
      <c r="F223" s="19" t="s">
        <v>282</v>
      </c>
      <c r="G223" s="25">
        <v>2000</v>
      </c>
      <c r="H223" s="16">
        <f>IF(D223=0,0,Tabla2[[#This Row],[VOTOS CANDIDATOS]])</f>
        <v>2000</v>
      </c>
      <c r="J223" s="19" t="e">
        <f t="shared" si="12"/>
        <v>#NUM!</v>
      </c>
      <c r="K223" s="16" t="e">
        <f>IF(Tabla2[[#This Row],[VOTOS]]&gt;=Tabla2[[#This Row],[K&gt;]],"ELEGIDO","NO ELEGIDO")</f>
        <v>#NUM!</v>
      </c>
      <c r="L223" s="19"/>
    </row>
    <row r="224" spans="1:12" x14ac:dyDescent="0.25">
      <c r="A224" s="12" t="str">
        <f t="shared" si="11"/>
        <v>1121</v>
      </c>
      <c r="B224" s="12">
        <v>11</v>
      </c>
      <c r="C224" s="12" t="s">
        <v>11</v>
      </c>
      <c r="D224" s="17">
        <v>21</v>
      </c>
      <c r="E224" s="18" t="s">
        <v>222</v>
      </c>
      <c r="F224" s="19" t="s">
        <v>281</v>
      </c>
      <c r="G224" s="25">
        <v>500</v>
      </c>
      <c r="H224" s="16">
        <f>IF(D224=0,0,Tabla2[[#This Row],[VOTOS CANDIDATOS]])</f>
        <v>500</v>
      </c>
      <c r="J224" s="19" t="e">
        <f t="shared" si="12"/>
        <v>#NUM!</v>
      </c>
      <c r="K224" s="16" t="e">
        <f>IF(Tabla2[[#This Row],[VOTOS]]&gt;=Tabla2[[#This Row],[K&gt;]],"ELEGIDO","NO ELEGIDO")</f>
        <v>#NUM!</v>
      </c>
      <c r="L224" s="19"/>
    </row>
    <row r="225" spans="1:12" ht="18.75" x14ac:dyDescent="0.3">
      <c r="A225" s="12" t="str">
        <f t="shared" si="11"/>
        <v>120</v>
      </c>
      <c r="B225" s="12">
        <v>12</v>
      </c>
      <c r="C225" s="12" t="s">
        <v>12</v>
      </c>
      <c r="D225" s="17">
        <v>0</v>
      </c>
      <c r="E225" s="19" t="s">
        <v>12</v>
      </c>
      <c r="G225" s="42">
        <f>MOVIMIENTO_ALTERNATIVO_INDIGENA_Y_SOCIAL_MAIS-SUM(G226:G246)</f>
        <v>-5172</v>
      </c>
      <c r="H225" s="16">
        <f>IF(D225=0,0,Tabla2[[#This Row],[VOTOS CANDIDATOS]])</f>
        <v>0</v>
      </c>
      <c r="I225" s="26">
        <f>CIFCAL!AC13</f>
        <v>0</v>
      </c>
      <c r="J225" s="16" t="e">
        <f>LARGE(H225:H246,Tabla2[[#This Row],[CURULES]])</f>
        <v>#NUM!</v>
      </c>
      <c r="L225" s="19"/>
    </row>
    <row r="226" spans="1:12" x14ac:dyDescent="0.25">
      <c r="A226" s="12" t="str">
        <f t="shared" si="11"/>
        <v>121</v>
      </c>
      <c r="B226" s="12">
        <v>12</v>
      </c>
      <c r="C226" s="12" t="s">
        <v>12</v>
      </c>
      <c r="D226" s="17">
        <v>1</v>
      </c>
      <c r="E226" s="18" t="s">
        <v>223</v>
      </c>
      <c r="F226" s="19" t="s">
        <v>282</v>
      </c>
      <c r="G226" s="25">
        <v>156</v>
      </c>
      <c r="H226" s="16">
        <f>IF(D226=0,0,Tabla2[[#This Row],[VOTOS CANDIDATOS]])</f>
        <v>156</v>
      </c>
      <c r="J226" s="19" t="e">
        <f>J225</f>
        <v>#NUM!</v>
      </c>
      <c r="K226" s="16" t="e">
        <f>IF(Tabla2[[#This Row],[VOTOS]]&gt;=Tabla2[[#This Row],[K&gt;]],"ELEGIDO","NO ELEGIDO")</f>
        <v>#NUM!</v>
      </c>
      <c r="L226" s="19"/>
    </row>
    <row r="227" spans="1:12" x14ac:dyDescent="0.25">
      <c r="A227" s="12" t="str">
        <f t="shared" si="11"/>
        <v>122</v>
      </c>
      <c r="B227" s="12">
        <v>12</v>
      </c>
      <c r="C227" s="12" t="s">
        <v>12</v>
      </c>
      <c r="D227" s="17">
        <v>2</v>
      </c>
      <c r="E227" s="18" t="s">
        <v>224</v>
      </c>
      <c r="F227" s="19" t="s">
        <v>281</v>
      </c>
      <c r="G227" s="25">
        <v>1111</v>
      </c>
      <c r="H227" s="16">
        <f>IF(D227=0,0,Tabla2[[#This Row],[VOTOS CANDIDATOS]])</f>
        <v>1111</v>
      </c>
      <c r="J227" s="19" t="e">
        <f t="shared" ref="J227:J246" si="13">J226</f>
        <v>#NUM!</v>
      </c>
      <c r="K227" s="16" t="e">
        <f>IF(Tabla2[[#This Row],[VOTOS]]&gt;=Tabla2[[#This Row],[K&gt;]],"ELEGIDO","NO ELEGIDO")</f>
        <v>#NUM!</v>
      </c>
      <c r="L227" s="19"/>
    </row>
    <row r="228" spans="1:12" x14ac:dyDescent="0.25">
      <c r="A228" s="12" t="str">
        <f t="shared" si="11"/>
        <v>123</v>
      </c>
      <c r="B228" s="12">
        <v>12</v>
      </c>
      <c r="C228" s="12" t="s">
        <v>12</v>
      </c>
      <c r="D228" s="17">
        <v>3</v>
      </c>
      <c r="E228" s="18" t="s">
        <v>225</v>
      </c>
      <c r="F228" s="19" t="s">
        <v>282</v>
      </c>
      <c r="G228" s="25">
        <v>1400</v>
      </c>
      <c r="H228" s="16">
        <f>IF(D228=0,0,Tabla2[[#This Row],[VOTOS CANDIDATOS]])</f>
        <v>1400</v>
      </c>
      <c r="J228" s="19" t="e">
        <f t="shared" si="13"/>
        <v>#NUM!</v>
      </c>
      <c r="K228" s="16" t="e">
        <f>IF(Tabla2[[#This Row],[VOTOS]]&gt;=Tabla2[[#This Row],[K&gt;]],"ELEGIDO","NO ELEGIDO")</f>
        <v>#NUM!</v>
      </c>
      <c r="L228" s="19"/>
    </row>
    <row r="229" spans="1:12" x14ac:dyDescent="0.25">
      <c r="A229" s="12" t="str">
        <f t="shared" si="11"/>
        <v>124</v>
      </c>
      <c r="B229" s="12">
        <v>12</v>
      </c>
      <c r="C229" s="12" t="s">
        <v>12</v>
      </c>
      <c r="D229" s="17">
        <v>4</v>
      </c>
      <c r="E229" s="18" t="s">
        <v>226</v>
      </c>
      <c r="F229" s="19" t="s">
        <v>281</v>
      </c>
      <c r="G229" s="25">
        <v>45</v>
      </c>
      <c r="H229" s="16">
        <f>IF(D229=0,0,Tabla2[[#This Row],[VOTOS CANDIDATOS]])</f>
        <v>45</v>
      </c>
      <c r="J229" s="19" t="e">
        <f t="shared" si="13"/>
        <v>#NUM!</v>
      </c>
      <c r="K229" s="16" t="e">
        <f>IF(Tabla2[[#This Row],[VOTOS]]&gt;=Tabla2[[#This Row],[K&gt;]],"ELEGIDO","NO ELEGIDO")</f>
        <v>#NUM!</v>
      </c>
      <c r="L229" s="19"/>
    </row>
    <row r="230" spans="1:12" x14ac:dyDescent="0.25">
      <c r="A230" s="12" t="str">
        <f t="shared" si="11"/>
        <v>125</v>
      </c>
      <c r="B230" s="12">
        <v>12</v>
      </c>
      <c r="C230" s="12" t="s">
        <v>12</v>
      </c>
      <c r="D230" s="17">
        <v>5</v>
      </c>
      <c r="E230" s="18" t="s">
        <v>227</v>
      </c>
      <c r="F230" s="19" t="s">
        <v>282</v>
      </c>
      <c r="G230" s="25">
        <v>33</v>
      </c>
      <c r="H230" s="16">
        <f>IF(D230=0,0,Tabla2[[#This Row],[VOTOS CANDIDATOS]])</f>
        <v>33</v>
      </c>
      <c r="J230" s="19" t="e">
        <f t="shared" si="13"/>
        <v>#NUM!</v>
      </c>
      <c r="K230" s="16" t="e">
        <f>IF(Tabla2[[#This Row],[VOTOS]]&gt;=Tabla2[[#This Row],[K&gt;]],"ELEGIDO","NO ELEGIDO")</f>
        <v>#NUM!</v>
      </c>
      <c r="L230" s="19"/>
    </row>
    <row r="231" spans="1:12" x14ac:dyDescent="0.25">
      <c r="A231" s="12" t="str">
        <f t="shared" si="11"/>
        <v>126</v>
      </c>
      <c r="B231" s="12">
        <v>12</v>
      </c>
      <c r="C231" s="12" t="s">
        <v>12</v>
      </c>
      <c r="D231" s="17">
        <v>6</v>
      </c>
      <c r="E231" s="18" t="s">
        <v>228</v>
      </c>
      <c r="F231" s="19" t="s">
        <v>281</v>
      </c>
      <c r="G231" s="25">
        <v>1</v>
      </c>
      <c r="H231" s="16">
        <f>IF(D231=0,0,Tabla2[[#This Row],[VOTOS CANDIDATOS]])</f>
        <v>1</v>
      </c>
      <c r="J231" s="19" t="e">
        <f t="shared" si="13"/>
        <v>#NUM!</v>
      </c>
      <c r="K231" s="16" t="e">
        <f>IF(Tabla2[[#This Row],[VOTOS]]&gt;=Tabla2[[#This Row],[K&gt;]],"ELEGIDO","NO ELEGIDO")</f>
        <v>#NUM!</v>
      </c>
      <c r="L231" s="19"/>
    </row>
    <row r="232" spans="1:12" x14ac:dyDescent="0.25">
      <c r="A232" s="12" t="str">
        <f t="shared" si="11"/>
        <v>127</v>
      </c>
      <c r="B232" s="12">
        <v>12</v>
      </c>
      <c r="C232" s="12" t="s">
        <v>12</v>
      </c>
      <c r="D232" s="17">
        <v>7</v>
      </c>
      <c r="E232" s="18" t="s">
        <v>229</v>
      </c>
      <c r="F232" s="19" t="s">
        <v>281</v>
      </c>
      <c r="G232" s="25">
        <v>29</v>
      </c>
      <c r="H232" s="16">
        <f>IF(D232=0,0,Tabla2[[#This Row],[VOTOS CANDIDATOS]])</f>
        <v>29</v>
      </c>
      <c r="J232" s="19" t="e">
        <f t="shared" si="13"/>
        <v>#NUM!</v>
      </c>
      <c r="K232" s="16" t="e">
        <f>IF(Tabla2[[#This Row],[VOTOS]]&gt;=Tabla2[[#This Row],[K&gt;]],"ELEGIDO","NO ELEGIDO")</f>
        <v>#NUM!</v>
      </c>
      <c r="L232" s="19"/>
    </row>
    <row r="233" spans="1:12" x14ac:dyDescent="0.25">
      <c r="A233" s="12" t="str">
        <f t="shared" si="11"/>
        <v>128</v>
      </c>
      <c r="B233" s="12">
        <v>12</v>
      </c>
      <c r="C233" s="12" t="s">
        <v>12</v>
      </c>
      <c r="D233" s="17">
        <v>8</v>
      </c>
      <c r="E233" s="18" t="s">
        <v>230</v>
      </c>
      <c r="F233" s="19" t="s">
        <v>281</v>
      </c>
      <c r="G233" s="25">
        <v>270</v>
      </c>
      <c r="H233" s="16">
        <f>IF(D233=0,0,Tabla2[[#This Row],[VOTOS CANDIDATOS]])</f>
        <v>270</v>
      </c>
      <c r="J233" s="19" t="e">
        <f t="shared" si="13"/>
        <v>#NUM!</v>
      </c>
      <c r="K233" s="16" t="e">
        <f>IF(Tabla2[[#This Row],[VOTOS]]&gt;=Tabla2[[#This Row],[K&gt;]],"ELEGIDO","NO ELEGIDO")</f>
        <v>#NUM!</v>
      </c>
      <c r="L233" s="19"/>
    </row>
    <row r="234" spans="1:12" x14ac:dyDescent="0.25">
      <c r="A234" s="12" t="str">
        <f t="shared" si="11"/>
        <v>129</v>
      </c>
      <c r="B234" s="12">
        <v>12</v>
      </c>
      <c r="C234" s="12" t="s">
        <v>12</v>
      </c>
      <c r="D234" s="17">
        <v>9</v>
      </c>
      <c r="E234" s="18" t="s">
        <v>231</v>
      </c>
      <c r="F234" s="19" t="s">
        <v>281</v>
      </c>
      <c r="G234" s="25">
        <v>1000</v>
      </c>
      <c r="H234" s="16">
        <f>IF(D234=0,0,Tabla2[[#This Row],[VOTOS CANDIDATOS]])</f>
        <v>1000</v>
      </c>
      <c r="J234" s="19" t="e">
        <f t="shared" si="13"/>
        <v>#NUM!</v>
      </c>
      <c r="K234" s="16" t="e">
        <f>IF(Tabla2[[#This Row],[VOTOS]]&gt;=Tabla2[[#This Row],[K&gt;]],"ELEGIDO","NO ELEGIDO")</f>
        <v>#NUM!</v>
      </c>
      <c r="L234" s="19"/>
    </row>
    <row r="235" spans="1:12" x14ac:dyDescent="0.25">
      <c r="A235" s="12" t="str">
        <f t="shared" si="11"/>
        <v>1210</v>
      </c>
      <c r="B235" s="12">
        <v>12</v>
      </c>
      <c r="C235" s="12" t="s">
        <v>12</v>
      </c>
      <c r="D235" s="17">
        <v>10</v>
      </c>
      <c r="E235" s="18" t="s">
        <v>232</v>
      </c>
      <c r="F235" s="19" t="s">
        <v>281</v>
      </c>
      <c r="G235" s="25">
        <v>690</v>
      </c>
      <c r="H235" s="16">
        <f>IF(D235=0,0,Tabla2[[#This Row],[VOTOS CANDIDATOS]])</f>
        <v>690</v>
      </c>
      <c r="J235" s="19" t="e">
        <f t="shared" si="13"/>
        <v>#NUM!</v>
      </c>
      <c r="K235" s="16" t="e">
        <f>IF(Tabla2[[#This Row],[VOTOS]]&gt;=Tabla2[[#This Row],[K&gt;]],"ELEGIDO","NO ELEGIDO")</f>
        <v>#NUM!</v>
      </c>
      <c r="L235" s="19"/>
    </row>
    <row r="236" spans="1:12" x14ac:dyDescent="0.25">
      <c r="A236" s="12" t="str">
        <f t="shared" si="11"/>
        <v>1211</v>
      </c>
      <c r="B236" s="12">
        <v>12</v>
      </c>
      <c r="C236" s="12" t="s">
        <v>12</v>
      </c>
      <c r="D236" s="17">
        <v>11</v>
      </c>
      <c r="E236" s="18" t="s">
        <v>233</v>
      </c>
      <c r="F236" s="19" t="s">
        <v>281</v>
      </c>
      <c r="G236" s="25">
        <v>310</v>
      </c>
      <c r="H236" s="16">
        <f>IF(D236=0,0,Tabla2[[#This Row],[VOTOS CANDIDATOS]])</f>
        <v>310</v>
      </c>
      <c r="J236" s="19" t="e">
        <f t="shared" si="13"/>
        <v>#NUM!</v>
      </c>
      <c r="K236" s="16" t="e">
        <f>IF(Tabla2[[#This Row],[VOTOS]]&gt;=Tabla2[[#This Row],[K&gt;]],"ELEGIDO","NO ELEGIDO")</f>
        <v>#NUM!</v>
      </c>
      <c r="L236" s="19"/>
    </row>
    <row r="237" spans="1:12" x14ac:dyDescent="0.25">
      <c r="A237" s="12" t="str">
        <f t="shared" si="11"/>
        <v>1212</v>
      </c>
      <c r="B237" s="12">
        <v>12</v>
      </c>
      <c r="C237" s="12" t="s">
        <v>12</v>
      </c>
      <c r="D237" s="17">
        <v>12</v>
      </c>
      <c r="E237" s="18" t="s">
        <v>234</v>
      </c>
      <c r="F237" s="19" t="s">
        <v>281</v>
      </c>
      <c r="G237" s="25">
        <v>71</v>
      </c>
      <c r="H237" s="16">
        <f>IF(D237=0,0,Tabla2[[#This Row],[VOTOS CANDIDATOS]])</f>
        <v>71</v>
      </c>
      <c r="J237" s="19" t="e">
        <f t="shared" si="13"/>
        <v>#NUM!</v>
      </c>
      <c r="K237" s="16" t="e">
        <f>IF(Tabla2[[#This Row],[VOTOS]]&gt;=Tabla2[[#This Row],[K&gt;]],"ELEGIDO","NO ELEGIDO")</f>
        <v>#NUM!</v>
      </c>
      <c r="L237" s="19"/>
    </row>
    <row r="238" spans="1:12" x14ac:dyDescent="0.25">
      <c r="A238" s="12" t="str">
        <f t="shared" si="11"/>
        <v>1213</v>
      </c>
      <c r="B238" s="12">
        <v>12</v>
      </c>
      <c r="C238" s="12" t="s">
        <v>12</v>
      </c>
      <c r="D238" s="17">
        <v>13</v>
      </c>
      <c r="E238" s="18" t="s">
        <v>235</v>
      </c>
      <c r="F238" s="19" t="s">
        <v>281</v>
      </c>
      <c r="G238" s="25">
        <v>987</v>
      </c>
      <c r="H238" s="16">
        <f>IF(D238=0,0,Tabla2[[#This Row],[VOTOS CANDIDATOS]])</f>
        <v>987</v>
      </c>
      <c r="J238" s="19" t="e">
        <f t="shared" si="13"/>
        <v>#NUM!</v>
      </c>
      <c r="K238" s="16" t="e">
        <f>IF(Tabla2[[#This Row],[VOTOS]]&gt;=Tabla2[[#This Row],[K&gt;]],"ELEGIDO","NO ELEGIDO")</f>
        <v>#NUM!</v>
      </c>
      <c r="L238" s="19"/>
    </row>
    <row r="239" spans="1:12" x14ac:dyDescent="0.25">
      <c r="A239" s="12" t="str">
        <f t="shared" si="11"/>
        <v>1214</v>
      </c>
      <c r="B239" s="12">
        <v>12</v>
      </c>
      <c r="C239" s="12" t="s">
        <v>12</v>
      </c>
      <c r="D239" s="17">
        <v>14</v>
      </c>
      <c r="E239" s="18" t="s">
        <v>236</v>
      </c>
      <c r="F239" s="19" t="s">
        <v>282</v>
      </c>
      <c r="G239" s="25">
        <v>900</v>
      </c>
      <c r="H239" s="16">
        <f>IF(D239=0,0,Tabla2[[#This Row],[VOTOS CANDIDATOS]])</f>
        <v>900</v>
      </c>
      <c r="J239" s="19" t="e">
        <f t="shared" si="13"/>
        <v>#NUM!</v>
      </c>
      <c r="K239" s="16" t="e">
        <f>IF(Tabla2[[#This Row],[VOTOS]]&gt;=Tabla2[[#This Row],[K&gt;]],"ELEGIDO","NO ELEGIDO")</f>
        <v>#NUM!</v>
      </c>
      <c r="L239" s="19"/>
    </row>
    <row r="240" spans="1:12" x14ac:dyDescent="0.25">
      <c r="A240" s="12" t="str">
        <f t="shared" si="11"/>
        <v>1215</v>
      </c>
      <c r="B240" s="12">
        <v>12</v>
      </c>
      <c r="C240" s="12" t="s">
        <v>12</v>
      </c>
      <c r="D240" s="17">
        <v>15</v>
      </c>
      <c r="E240" s="18" t="s">
        <v>237</v>
      </c>
      <c r="F240" s="19" t="s">
        <v>281</v>
      </c>
      <c r="G240" s="25">
        <v>100</v>
      </c>
      <c r="H240" s="16">
        <f>IF(D240=0,0,Tabla2[[#This Row],[VOTOS CANDIDATOS]])</f>
        <v>100</v>
      </c>
      <c r="J240" s="19" t="e">
        <f t="shared" si="13"/>
        <v>#NUM!</v>
      </c>
      <c r="K240" s="16" t="e">
        <f>IF(Tabla2[[#This Row],[VOTOS]]&gt;=Tabla2[[#This Row],[K&gt;]],"ELEGIDO","NO ELEGIDO")</f>
        <v>#NUM!</v>
      </c>
      <c r="L240" s="19"/>
    </row>
    <row r="241" spans="1:12" x14ac:dyDescent="0.25">
      <c r="A241" s="12" t="str">
        <f t="shared" si="11"/>
        <v>1216</v>
      </c>
      <c r="B241" s="12">
        <v>12</v>
      </c>
      <c r="C241" s="12" t="s">
        <v>12</v>
      </c>
      <c r="D241" s="17">
        <v>16</v>
      </c>
      <c r="E241" s="18" t="s">
        <v>238</v>
      </c>
      <c r="F241" s="19" t="s">
        <v>282</v>
      </c>
      <c r="G241" s="25">
        <v>135</v>
      </c>
      <c r="H241" s="16">
        <f>IF(D241=0,0,Tabla2[[#This Row],[VOTOS CANDIDATOS]])</f>
        <v>135</v>
      </c>
      <c r="J241" s="19" t="e">
        <f t="shared" si="13"/>
        <v>#NUM!</v>
      </c>
      <c r="K241" s="16" t="e">
        <f>IF(Tabla2[[#This Row],[VOTOS]]&gt;=Tabla2[[#This Row],[K&gt;]],"ELEGIDO","NO ELEGIDO")</f>
        <v>#NUM!</v>
      </c>
      <c r="L241" s="19"/>
    </row>
    <row r="242" spans="1:12" x14ac:dyDescent="0.25">
      <c r="A242" s="12" t="str">
        <f t="shared" si="11"/>
        <v>1217</v>
      </c>
      <c r="B242" s="12">
        <v>12</v>
      </c>
      <c r="C242" s="12" t="s">
        <v>12</v>
      </c>
      <c r="D242" s="17">
        <v>17</v>
      </c>
      <c r="E242" s="18" t="s">
        <v>239</v>
      </c>
      <c r="F242" s="19" t="s">
        <v>281</v>
      </c>
      <c r="G242" s="25">
        <v>4</v>
      </c>
      <c r="H242" s="16">
        <f>IF(D242=0,0,Tabla2[[#This Row],[VOTOS CANDIDATOS]])</f>
        <v>4</v>
      </c>
      <c r="J242" s="19" t="e">
        <f t="shared" si="13"/>
        <v>#NUM!</v>
      </c>
      <c r="K242" s="16" t="e">
        <f>IF(Tabla2[[#This Row],[VOTOS]]&gt;=Tabla2[[#This Row],[K&gt;]],"ELEGIDO","NO ELEGIDO")</f>
        <v>#NUM!</v>
      </c>
      <c r="L242" s="19"/>
    </row>
    <row r="243" spans="1:12" x14ac:dyDescent="0.25">
      <c r="A243" s="12" t="str">
        <f t="shared" si="11"/>
        <v>1218</v>
      </c>
      <c r="B243" s="12">
        <v>12</v>
      </c>
      <c r="C243" s="12" t="s">
        <v>12</v>
      </c>
      <c r="D243" s="17">
        <v>18</v>
      </c>
      <c r="E243" s="18" t="s">
        <v>240</v>
      </c>
      <c r="F243" s="19" t="s">
        <v>282</v>
      </c>
      <c r="G243" s="25">
        <v>77</v>
      </c>
      <c r="H243" s="16">
        <f>IF(D243=0,0,Tabla2[[#This Row],[VOTOS CANDIDATOS]])</f>
        <v>77</v>
      </c>
      <c r="J243" s="19" t="e">
        <f t="shared" si="13"/>
        <v>#NUM!</v>
      </c>
      <c r="K243" s="16" t="e">
        <f>IF(Tabla2[[#This Row],[VOTOS]]&gt;=Tabla2[[#This Row],[K&gt;]],"ELEGIDO","NO ELEGIDO")</f>
        <v>#NUM!</v>
      </c>
      <c r="L243" s="19"/>
    </row>
    <row r="244" spans="1:12" x14ac:dyDescent="0.25">
      <c r="A244" s="12" t="str">
        <f t="shared" si="11"/>
        <v>1219</v>
      </c>
      <c r="B244" s="12">
        <v>12</v>
      </c>
      <c r="C244" s="12" t="s">
        <v>12</v>
      </c>
      <c r="D244" s="17">
        <v>19</v>
      </c>
      <c r="E244" s="18" t="s">
        <v>241</v>
      </c>
      <c r="F244" s="19" t="s">
        <v>281</v>
      </c>
      <c r="G244" s="25">
        <v>1298</v>
      </c>
      <c r="H244" s="16">
        <f>IF(D244=0,0,Tabla2[[#This Row],[VOTOS CANDIDATOS]])</f>
        <v>1298</v>
      </c>
      <c r="J244" s="19" t="e">
        <f t="shared" si="13"/>
        <v>#NUM!</v>
      </c>
      <c r="K244" s="16" t="e">
        <f>IF(Tabla2[[#This Row],[VOTOS]]&gt;=Tabla2[[#This Row],[K&gt;]],"ELEGIDO","NO ELEGIDO")</f>
        <v>#NUM!</v>
      </c>
      <c r="L244" s="19"/>
    </row>
    <row r="245" spans="1:12" x14ac:dyDescent="0.25">
      <c r="A245" s="12" t="str">
        <f t="shared" si="11"/>
        <v>1220</v>
      </c>
      <c r="B245" s="12">
        <v>12</v>
      </c>
      <c r="C245" s="12" t="s">
        <v>12</v>
      </c>
      <c r="D245" s="17">
        <v>20</v>
      </c>
      <c r="E245" s="18" t="s">
        <v>242</v>
      </c>
      <c r="F245" s="19" t="s">
        <v>282</v>
      </c>
      <c r="G245" s="25">
        <v>140</v>
      </c>
      <c r="H245" s="16">
        <f>IF(D245=0,0,Tabla2[[#This Row],[VOTOS CANDIDATOS]])</f>
        <v>140</v>
      </c>
      <c r="J245" s="19" t="e">
        <f t="shared" si="13"/>
        <v>#NUM!</v>
      </c>
      <c r="K245" s="16" t="e">
        <f>IF(Tabla2[[#This Row],[VOTOS]]&gt;=Tabla2[[#This Row],[K&gt;]],"ELEGIDO","NO ELEGIDO")</f>
        <v>#NUM!</v>
      </c>
      <c r="L245" s="19"/>
    </row>
    <row r="246" spans="1:12" hidden="1" x14ac:dyDescent="0.25">
      <c r="A246" s="12" t="str">
        <f t="shared" si="11"/>
        <v>1221</v>
      </c>
      <c r="B246" s="12">
        <v>12</v>
      </c>
      <c r="C246" s="12" t="s">
        <v>12</v>
      </c>
      <c r="D246" s="17">
        <v>21</v>
      </c>
      <c r="E246" s="18" t="s">
        <v>243</v>
      </c>
      <c r="F246" s="19" t="s">
        <v>281</v>
      </c>
      <c r="G246" s="21">
        <v>10</v>
      </c>
      <c r="H246" s="16">
        <f>IF(D246=0,0,Tabla2[[#This Row],[VOTOS CANDIDATOS]])</f>
        <v>10</v>
      </c>
      <c r="J246" s="19" t="e">
        <f t="shared" si="13"/>
        <v>#NUM!</v>
      </c>
      <c r="K246" s="16" t="e">
        <f>IF(Tabla2[[#This Row],[VOTOS]]&gt;=Tabla2[[#This Row],[K&gt;]],"ELEGIDO","NO ELEGIDO")</f>
        <v>#NUM!</v>
      </c>
    </row>
  </sheetData>
  <sheetProtection algorithmName="SHA-512" hashValue="tFbtTdqNEtEnkrCGPifaXlZUHYQVeTEhjCL1qJtHwL8McIhRZ0W+LDG8PThjGpIPqlZyE2nw8TsNQexdcasNag==" saltValue="eK0PhIkktDM+TDDRkEk9gQ==" spinCount="100000" sheet="1" objects="1" selectLockedCells="1" autoFilter="0"/>
  <conditionalFormatting sqref="F9:G9">
    <cfRule type="cellIs" dxfId="17" priority="6" operator="equal">
      <formula>0</formula>
    </cfRule>
  </conditionalFormatting>
  <conditionalFormatting sqref="D1:D104857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{C4750BD3-05E5-422B-BF4D-ED2A43CD9C72}</x14:id>
        </ext>
      </extLst>
    </cfRule>
  </conditionalFormatting>
  <conditionalFormatting sqref="K1:K1048576">
    <cfRule type="cellIs" dxfId="16" priority="3" operator="equal">
      <formula>"ELEGIDO"</formula>
    </cfRule>
  </conditionalFormatting>
  <conditionalFormatting sqref="L7">
    <cfRule type="cellIs" dxfId="15" priority="2" operator="equal">
      <formula>"ELEGIDO"</formula>
    </cfRule>
  </conditionalFormatting>
  <conditionalFormatting sqref="I1">
    <cfRule type="cellIs" dxfId="14" priority="1" operator="equal">
      <formula>"ELEGIDO"</formula>
    </cfRule>
  </conditionalFormatting>
  <dataValidations count="5">
    <dataValidation type="whole" operator="equal" allowBlank="1" showInputMessage="1" showErrorMessage="1" error="NO INSISTA. VOTACIÓN POR LA LISTA SOLAMENTE" prompt="LISTA CERRADA" sqref="G97:G103">
      <formula1>0</formula1>
    </dataValidation>
    <dataValidation type="whole" operator="equal" allowBlank="1" showInputMessage="1" showErrorMessage="1" error="SOLO LISTA. NO INSISTA" prompt="SOLO LISTA" sqref="G127:G141">
      <formula1>0</formula1>
    </dataValidation>
    <dataValidation type="list" allowBlank="1" showInputMessage="1" showErrorMessage="1" sqref="I2">
      <formula1>$O$3:$O$4</formula1>
    </dataValidation>
    <dataValidation type="list" allowBlank="1" showInputMessage="1" showErrorMessage="1" sqref="F2">
      <formula1>GÉNERO</formula1>
    </dataValidation>
    <dataValidation type="list" allowBlank="1" showInputMessage="1" showErrorMessage="1" error="DIGITE CANDIDATO" sqref="E2">
      <formula1>CANDIDATOS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ELEGIDOSCONCEJOCALI">
                <anchor moveWithCells="1" sizeWithCells="1">
                  <from>
                    <xdr:col>10</xdr:col>
                    <xdr:colOff>47625</xdr:colOff>
                    <xdr:row>0</xdr:row>
                    <xdr:rowOff>9525</xdr:rowOff>
                  </from>
                  <to>
                    <xdr:col>11</xdr:col>
                    <xdr:colOff>733425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4750BD3-05E5-422B-BF4D-ED2A43CD9C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containsText" priority="13" operator="containsText" id="{73B8B739-9437-4169-91EA-2796A9FBFF7C}">
            <xm:f>NOT(ISERROR(SEARCH($F$9,F1)))</xm:f>
            <xm:f>$F$9</xm:f>
            <x14:dxf>
              <fill>
                <patternFill>
                  <bgColor rgb="FF00B050"/>
                </patternFill>
              </fill>
            </x14:dxf>
          </x14:cfRule>
          <xm:sqref>F1:G1048576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SELECCIONE EL PARTIDO DE LA LISTA DESPLEGABLE" prompt="SOLO PARTIDOS QUE PARTICIPAN EN LA ELECCIÓN">
          <x14:formula1>
            <xm:f>CIFCAL!$C$2:$C$13</xm:f>
          </x14:formula1>
          <xm:sqref>C2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2</vt:i4>
      </vt:variant>
      <vt:variant>
        <vt:lpstr>Gráficos</vt:lpstr>
      </vt:variant>
      <vt:variant>
        <vt:i4>3</vt:i4>
      </vt:variant>
      <vt:variant>
        <vt:lpstr>Rangos con nombre</vt:lpstr>
      </vt:variant>
      <vt:variant>
        <vt:i4>22</vt:i4>
      </vt:variant>
    </vt:vector>
  </HeadingPairs>
  <TitlesOfParts>
    <vt:vector size="27" baseType="lpstr">
      <vt:lpstr>CIFCAL</vt:lpstr>
      <vt:lpstr>CANDCALI</vt:lpstr>
      <vt:lpstr>DISTANCIA AL UMBRAL</vt:lpstr>
      <vt:lpstr>VOTOS PARTIDOS</vt:lpstr>
      <vt:lpstr>CURULES OBTENIDAS</vt:lpstr>
      <vt:lpstr>CANDIDATOS</vt:lpstr>
      <vt:lpstr>CIFRA_REPARTIDORA</vt:lpstr>
      <vt:lpstr>CANDCALI!Criterios</vt:lpstr>
      <vt:lpstr>CURULES_A_PROVEER</vt:lpstr>
      <vt:lpstr>GÉNERO</vt:lpstr>
      <vt:lpstr>MOVIMIENTO_ALTERNATIVO_INDIGENA_Y_SOCIAL_MAIS</vt:lpstr>
      <vt:lpstr>MOVIMIENTO_MIRA</vt:lpstr>
      <vt:lpstr>PARTIDO_ALIANZA_SOCIAL_INDEPENDIENTE_ASI</vt:lpstr>
      <vt:lpstr>PARTIDO_ALIANZA_VERDE</vt:lpstr>
      <vt:lpstr>PARTIDO_CAMBIO_RADICAL</vt:lpstr>
      <vt:lpstr>PARTIDO_CENTRO_DEMOCRATICO</vt:lpstr>
      <vt:lpstr>PARTIDO_CONSERVADOR_COLOMBIANO</vt:lpstr>
      <vt:lpstr>PARTIDO_LIBERAL_COLOMBIANO</vt:lpstr>
      <vt:lpstr>PARTIDO_OPCION_CIUDADANA</vt:lpstr>
      <vt:lpstr>PARTIDO_POLO_DEMOCRATICO_ALTERNATIVO</vt:lpstr>
      <vt:lpstr>PARTIDO_SOCIAL_DE_UNIDAD_NACIONAL__PARTIDO_DE_LA_U</vt:lpstr>
      <vt:lpstr>PARTIDO_UNION_PATRIOTICA_UP</vt:lpstr>
      <vt:lpstr>TABLACANDIDATOS</vt:lpstr>
      <vt:lpstr>TOTAL_VOTOS_VÁLIDOS</vt:lpstr>
      <vt:lpstr>CIFCAL!UMBRAL</vt:lpstr>
      <vt:lpstr>UMBRALCALI</vt:lpstr>
      <vt:lpstr>VOTOS_EN_BLANCO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Pérez Castañeda</dc:creator>
  <cp:lastModifiedBy>vanessa</cp:lastModifiedBy>
  <dcterms:created xsi:type="dcterms:W3CDTF">2015-08-10T22:40:04Z</dcterms:created>
  <dcterms:modified xsi:type="dcterms:W3CDTF">2015-10-26T22:49:42Z</dcterms:modified>
</cp:coreProperties>
</file>