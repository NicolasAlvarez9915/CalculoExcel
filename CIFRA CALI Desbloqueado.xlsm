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extended-properties+xml" PartName="/docProps/app.xml"/>
  <Override ContentType="application/vnd.openxmlformats-officedocument.spreadsheetml.chartsheet+xml" PartName="/xl/chartsheets/sheet2.xml"/>
  <Override ContentType="application/vnd.openxmlformats-officedocument.spreadsheetml.chartsheet+xml" PartName="/xl/chartsheets/sheet3.xml"/>
  <Override ContentType="application/vnd.openxmlformats-officedocument.spreadsheetml.chartsheet+xml" PartName="/xl/chartsheets/sheet1.xml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IFCAL" sheetId="1" r:id="rId5"/>
    <sheet state="visible" name="CANDCALI" sheetId="2" r:id="rId6"/>
    <sheet state="hidden" name="DISTANCIA AL UMBRAL" sheetId="3" r:id="rId7"/>
    <sheet state="hidden" name="VOTOS PARTIDOS" sheetId="4" r:id="rId8"/>
    <sheet state="hidden" name="CURULES OBTENIDAS" sheetId="5" r:id="rId9"/>
  </sheets>
  <definedNames>
    <definedName name="PARTIDO_CAMBIO_RADICAL">CIFCAL!$D$7</definedName>
    <definedName name="VOTOS_EN_BLANCO">CIFCAL!$D$14</definedName>
    <definedName name="GÉNERO">CANDCALI!$Q$2</definedName>
    <definedName localSheetId="0" name="UMBRAL">CIFCAL!$D$17</definedName>
    <definedName name="MOVIMIENTO_MIRA">CIFCAL!$D$4</definedName>
    <definedName name="PARTIDO_LIBERAL_COLOMBIANO">CIFCAL!$D$5</definedName>
    <definedName name="CANDIDATOS">CANDCALI!$E$8:$E$245</definedName>
    <definedName name="PARTIDO_ALIANZA_VERDE">CIFCAL!$D$10</definedName>
    <definedName name="PARTIDO_SOCIAL_DE_UNIDAD_NACIONAL__PARTIDO_DE_LA_U">CIFCAL!$D$3</definedName>
    <definedName name="CURULES_A_PROVEER">CIFCAL!$D$16</definedName>
    <definedName name="MOVIMIENTO_ALTERNATIVO_INDIGENA_Y_SOCIAL_MAIS">CIFCAL!$D$13</definedName>
    <definedName name="PARTIDO_ALIANZA_SOCIAL_INDEPENDIENTE_ASI">CIFCAL!$D$9</definedName>
    <definedName name="PARTIDO_OPCION_CIUDADANA">CIFCAL!$D$12</definedName>
    <definedName name="PARTIDO_CONSERVADOR_COLOMBIANO">CIFCAL!$D$2</definedName>
    <definedName name="PARTIDO_POLO_DEMOCRATICO_ALTERNATIVO">CIFCAL!$D$11</definedName>
    <definedName name="UMBRALCALI">CIFCAL!$D$20</definedName>
    <definedName name="PARTIDO_CENTRO_DEMOCRATICO">CIFCAL!$D$8</definedName>
    <definedName name="TABLACANDIDATOS">CANDCALI!$C$7:$K$245</definedName>
    <definedName name="CIFRA_REPARTIDORA">CIFCAL!$D$18</definedName>
    <definedName name="TOTAL_VOTOS_VÁLIDOS">CIFCAL!$D$15</definedName>
    <definedName name="PARTIDO_UNION_PATRIOTICA_UP">CIFCAL!$D$6</definedName>
  </definedNames>
  <calcPr/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E96">
      <text>
        <t xml:space="preserve">William Pérez Castañeda:
NO PREFERENTE</t>
      </text>
    </comment>
    <comment authorId="0" ref="E126">
      <text>
        <t xml:space="preserve">William Pérez Castañeda:
NO PREFERENTE</t>
      </text>
    </comment>
  </commentList>
</comments>
</file>

<file path=xl/sharedStrings.xml><?xml version="1.0" encoding="utf-8"?>
<sst xmlns="http://schemas.openxmlformats.org/spreadsheetml/2006/main" count="792" uniqueCount="304">
  <si>
    <t>#PARTIDO</t>
  </si>
  <si>
    <t>NOMBRE CORTO</t>
  </si>
  <si>
    <t>Partidos o Grupo Significativo</t>
  </si>
  <si>
    <t xml:space="preserve"> VOTOS</t>
  </si>
  <si>
    <t>CURULES</t>
  </si>
  <si>
    <t>PARTIDOS CON UMBRAL</t>
  </si>
  <si>
    <t>Datos cálculos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</si>
  <si>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</si>
  <si>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</si>
  <si>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</si>
  <si>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</si>
  <si>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</si>
  <si>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</si>
  <si>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</si>
  <si>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</si>
  <si>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</si>
  <si>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</si>
  <si>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</si>
  <si>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</si>
  <si>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</si>
  <si>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</si>
  <si>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</si>
  <si>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</si>
  <si>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</si>
  <si>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</si>
  <si>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</si>
  <si>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</si>
  <si>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</si>
  <si>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CURULES OBTENIDAS</t>
  </si>
  <si>
    <t>VOTOS PERDIDOS</t>
  </si>
  <si>
    <t>DISTANCIA AL UMBRAL</t>
  </si>
  <si>
    <t>%VOTOS VALIDOS</t>
  </si>
  <si>
    <t>PCC</t>
  </si>
  <si>
    <t>PARTIDO CONSERVADOR COLOMBIANO</t>
  </si>
  <si>
    <t>P DE LA U</t>
  </si>
  <si>
    <t>PARTIDO SOCIAL DE UNIDAD NACIONAL  PARTIDO DE LA U</t>
  </si>
  <si>
    <t>MIRA</t>
  </si>
  <si>
    <t>MOVIMIENTO MIRA</t>
  </si>
  <si>
    <t>PLC</t>
  </si>
  <si>
    <t>PARTIDO LIBERAL COLOMBIANO</t>
  </si>
  <si>
    <t>UP</t>
  </si>
  <si>
    <t>PARTIDO UNION PATRIOTICA UP</t>
  </si>
  <si>
    <t>CAMBIO</t>
  </si>
  <si>
    <t>PARTIDO CAMBIO RADICAL</t>
  </si>
  <si>
    <t>CENTRODEM</t>
  </si>
  <si>
    <t>PARTIDO CENTRO DEMOCRATICO</t>
  </si>
  <si>
    <t>ASI</t>
  </si>
  <si>
    <t>PARTIDO ALIANZA SOCIAL INDEPENDIENTE ASI</t>
  </si>
  <si>
    <t>ALIANVERDE</t>
  </si>
  <si>
    <t>PARTIDO ALIANZA VERDE</t>
  </si>
  <si>
    <t>POLO</t>
  </si>
  <si>
    <t>PARTIDO POLO DEMOCRATICO ALTERNATIVO</t>
  </si>
  <si>
    <t>OPCIÓN</t>
  </si>
  <si>
    <t xml:space="preserve">PARTIDO OPCION CIUDADANA  </t>
  </si>
  <si>
    <t>MAIS</t>
  </si>
  <si>
    <t>MOVIMIENTO ALTERNATIVO INDIGENA Y SOCIAL MAIS</t>
  </si>
  <si>
    <t>BLANCOS</t>
  </si>
  <si>
    <t>VOTOS EN BLANCO</t>
  </si>
  <si>
    <t>VÁLIDOS</t>
  </si>
  <si>
    <t>TOTAL VOTOS VÁLIDOS</t>
  </si>
  <si>
    <t>CURULES A PROVEER</t>
  </si>
  <si>
    <t>UMBRAL</t>
  </si>
  <si>
    <t>CIFRA</t>
  </si>
  <si>
    <t>CIFRA REPARTIDORA</t>
  </si>
  <si>
    <t>PARTIDO O MOVIMIENTO POLÍTICO</t>
  </si>
  <si>
    <t xml:space="preserve">Nombres y Apellidos </t>
  </si>
  <si>
    <t>GÉNERO</t>
  </si>
  <si>
    <t>VOTOS CANDIDATOS</t>
  </si>
  <si>
    <t>ELEGIDOS</t>
  </si>
  <si>
    <t>FEMENINO</t>
  </si>
  <si>
    <t>ELEGIDO</t>
  </si>
  <si>
    <t>NO ELEGIDO</t>
  </si>
  <si>
    <t>CODCANDUNICO</t>
  </si>
  <si>
    <t>Cod. Candidato</t>
  </si>
  <si>
    <t>VOTOS</t>
  </si>
  <si>
    <t>K&gt;</t>
  </si>
  <si>
    <t>FERNANDO ALBERTO TAMAYO VALLE</t>
  </si>
  <si>
    <t>MASCULINO</t>
  </si>
  <si>
    <t>PABLO ANDRES URIBE MURILLO</t>
  </si>
  <si>
    <t>SANDRA CECILIA VELASQUEZ CARDONA</t>
  </si>
  <si>
    <t>JUAN GUILLERMO CEBALLOS YEPES</t>
  </si>
  <si>
    <t>ALBEIRO ECHEVERRY BUSTAMANTE</t>
  </si>
  <si>
    <t>OMAR VALENCIA DUQUE</t>
  </si>
  <si>
    <t>LUIS MARIO GARCIA SILVA</t>
  </si>
  <si>
    <t>VICTOR MANUEL ORTEGA TAMAYO</t>
  </si>
  <si>
    <t>DANILO SALAZAR IBARRA</t>
  </si>
  <si>
    <t>RICHARD RIVERA CAMPO</t>
  </si>
  <si>
    <t>RICARDO ADOLFO ZAPATA SANCHEZ</t>
  </si>
  <si>
    <t>NESTOR RAUL SOTO TORRES</t>
  </si>
  <si>
    <t>JACOBO NADER CEBALLOS</t>
  </si>
  <si>
    <t>INGRY JOHANA ZAPATA RIVERA</t>
  </si>
  <si>
    <t>JANNET ROCIO MARTINEZ MUÑOZ</t>
  </si>
  <si>
    <t>NATALIA ALZATE SANTA</t>
  </si>
  <si>
    <t>DIEGO ALBERTO RAMOS MONCAYO</t>
  </si>
  <si>
    <t>LAJAS MILENA OSORIO CASTILLO</t>
  </si>
  <si>
    <t>NATALIA CANO VASQUEZ</t>
  </si>
  <si>
    <t>LORENA JARAMILLO VARGAS</t>
  </si>
  <si>
    <t>EDGAR HERNAN LOPEZ RUIZ</t>
  </si>
  <si>
    <t>AUDRY MARIA TORO ECHAVARRIA</t>
  </si>
  <si>
    <t>HENRY PELAEZ CIFUENTES</t>
  </si>
  <si>
    <t>GUSTAVO ADOLFO RIOS GOMEZ</t>
  </si>
  <si>
    <t>DANIS ANTONIO RENTERIA CHALA</t>
  </si>
  <si>
    <t>MARIA GRECY FIGUEROA RUIZ</t>
  </si>
  <si>
    <t>JESUS MARTIN ESTERILLA RUIZ</t>
  </si>
  <si>
    <t>CARLOS ANDRES ARIAS RUEDA</t>
  </si>
  <si>
    <t>TANIA FERNANDEZ SANCHEZ</t>
  </si>
  <si>
    <t>JOAQUIN ENRIQUE OLANO HOYOS</t>
  </si>
  <si>
    <t>CARLOS ARMANDO BURBANO RODRIGUEZ</t>
  </si>
  <si>
    <t>ANGELO RENE RODRIGUEZ MORENO</t>
  </si>
  <si>
    <t>OSCAR ANTONIO MORALES PINZON</t>
  </si>
  <si>
    <t>DANIEL PALOMINO VERGARA</t>
  </si>
  <si>
    <t>JHONY VALENZUELA SINISTERRA</t>
  </si>
  <si>
    <t>YOLIMA YANETH SALAZAR MORCILLO</t>
  </si>
  <si>
    <t>MARGIE ALEJANDRA ALVARADO CARDONA</t>
  </si>
  <si>
    <t>LUZ MARIA SERNA DE GUZMAN</t>
  </si>
  <si>
    <t>MARIO WALTER QUIÑONES ANGULO</t>
  </si>
  <si>
    <t>MERLY RESTREPO TAFUR</t>
  </si>
  <si>
    <t>ESAUD URRUTIA NOEL</t>
  </si>
  <si>
    <t>JUAN GUILLERMO PARRA MONTOYA</t>
  </si>
  <si>
    <t>JUAN CARLOS OLAYA CIRO</t>
  </si>
  <si>
    <t>EDISNEY VALENCIA MARIN</t>
  </si>
  <si>
    <t>MAXIMO CUERO PORTOCARRERO</t>
  </si>
  <si>
    <t>LILIANA VALLEJO CORTES</t>
  </si>
  <si>
    <t>JORGE ISAAC TOBON ESPINAL</t>
  </si>
  <si>
    <t>OLGA LUCIA OLAYA MARTINEZ</t>
  </si>
  <si>
    <t>HUMBERTO SARRIA ESTRADA</t>
  </si>
  <si>
    <t>ALFANIA RENDON GARCIA</t>
  </si>
  <si>
    <t>RODRIGO CAICEDO VILLEGAS</t>
  </si>
  <si>
    <t>MARTHA CECILIA ZUÑIGA TAFUR</t>
  </si>
  <si>
    <t>JOSE FHANOR PALACIOS MINA</t>
  </si>
  <si>
    <t>MARTHA LILIANA PRADO OROZCO</t>
  </si>
  <si>
    <t>GLADYS RODRIGUEZ DE BUITRAGO</t>
  </si>
  <si>
    <t>ALVARO EDUARDO OROZCO MORALES</t>
  </si>
  <si>
    <t>ANDRES DAMIAN VILLA ROSALES</t>
  </si>
  <si>
    <t>ADOLFO LEON MUÑOZ TOBAR</t>
  </si>
  <si>
    <t>GLADYS MARY SOLARTE CAMPO</t>
  </si>
  <si>
    <t>WILMAR ALEXIS BARRERA MUÑOZ</t>
  </si>
  <si>
    <t>MAGDIELI CARDONA RIVERO</t>
  </si>
  <si>
    <t>LUZ MARINA PARRA ZAPATA</t>
  </si>
  <si>
    <t>DIEGO ALFONSO ANACONA ALVAREZ</t>
  </si>
  <si>
    <t>MARIA CLEMENTINA VELEZ GALVEZ</t>
  </si>
  <si>
    <t>JESUS EFREN BANGUERO VALENCIA</t>
  </si>
  <si>
    <t>JAVIER ANDRES MONTERO ZULUAGA</t>
  </si>
  <si>
    <t>ANDRES VELEZ PLAZAS</t>
  </si>
  <si>
    <t>CARLOS HERNANDO PINILLA MALO</t>
  </si>
  <si>
    <t>ALBA ROCIO ESTACIO LOSADA</t>
  </si>
  <si>
    <t>JUAN PABLO ROJAS SUAREZ</t>
  </si>
  <si>
    <t>EDINSON DELGADO MARTINEZ</t>
  </si>
  <si>
    <t>PAOLA ANDREA MENDEZ HERNANDEZ</t>
  </si>
  <si>
    <t>JUAN MANUEL CHICANGO CASTILLO</t>
  </si>
  <si>
    <t>ALICIA OSORIO GONZALEZ</t>
  </si>
  <si>
    <t>MARICEL HERNANDEZ NAVIA</t>
  </si>
  <si>
    <t>AZAI BOLAÑOS CAICEDO</t>
  </si>
  <si>
    <t>JAIME ADOLFO GASCA CUELLAR</t>
  </si>
  <si>
    <t>YURIET MOZORONGO JUANILLO</t>
  </si>
  <si>
    <t>JOSE EVER RIOS ALZATE</t>
  </si>
  <si>
    <t>JORGE ENRIQUE CASALINS TELLO</t>
  </si>
  <si>
    <t>DAVID MANRIQUE MOTTA</t>
  </si>
  <si>
    <t>VICTOR ALFONSO RAMIREZ RESTREPO</t>
  </si>
  <si>
    <t>OSCAR PEÑA FILIGRANA</t>
  </si>
  <si>
    <t>OSCAR JAVIER ORTIZ CUELLAR</t>
  </si>
  <si>
    <t xml:space="preserve">DORA MARIA CHAMORRO GONZALEZ </t>
  </si>
  <si>
    <t>JAIME ANDRES SANCHEZ LUCUARA</t>
  </si>
  <si>
    <t>AMPARO DEL SOCORRO ALVAREZ BENAVIDES</t>
  </si>
  <si>
    <t>VILMA EUGENIA PENAGOS CONCHA</t>
  </si>
  <si>
    <t>JAIR ERAZO GALEANO</t>
  </si>
  <si>
    <t>GILBERTO PAREJA GARCIA</t>
  </si>
  <si>
    <t>ZULENY MORALES GIRALDO</t>
  </si>
  <si>
    <t xml:space="preserve">DIEGO SARDI DE LIMA </t>
  </si>
  <si>
    <t>NORALBA GARCIA MORENO</t>
  </si>
  <si>
    <t>MILTON FABIAN CASTRILLON RODRIGUEZ</t>
  </si>
  <si>
    <t>MARIA LUISA TOBAR HENAO</t>
  </si>
  <si>
    <t>LUIS ENRIQUE GOMEZ GOMEZ</t>
  </si>
  <si>
    <t>ALEXANDRA HERNANDEZ CEDEÑO</t>
  </si>
  <si>
    <t>CARLOS HERNAN RODRIGUEZ NARANJO</t>
  </si>
  <si>
    <t>JAMES RICHARD WIEDMAN AMAYA</t>
  </si>
  <si>
    <t>JULIO CESAR RODRIGUEZ BERNAL</t>
  </si>
  <si>
    <t>ISRAEL LONDOÑO LONDOÑO</t>
  </si>
  <si>
    <t>EDILMA DEL ROSARIO OCAMPO LOPEZ</t>
  </si>
  <si>
    <t>CESAR ANDRES ROMERO MORALES</t>
  </si>
  <si>
    <t>JESUS ANDRES ESPINOSA TRUQUE</t>
  </si>
  <si>
    <t>LINNA PAMELA ORTEGA PARRA</t>
  </si>
  <si>
    <t>GLORIA PATRICIA RENGIFO VALENCIA</t>
  </si>
  <si>
    <t>INES MARIA MENESES ISAZA</t>
  </si>
  <si>
    <t>SILVIO ANTONIO SANCHEZ MUÑOZ</t>
  </si>
  <si>
    <t xml:space="preserve">LAURA ISABEL MUÑOZ CASTRO </t>
  </si>
  <si>
    <t>YEAN AMPARO RIOS HOYOS</t>
  </si>
  <si>
    <t>PEDRO YESID MEJIA GOMEZ</t>
  </si>
  <si>
    <t xml:space="preserve">BETTY PERLAZA GARCIA </t>
  </si>
  <si>
    <t>ROBERTO RODRIGUEZ ZAMUDIO</t>
  </si>
  <si>
    <t>JAIME IGNACIO ARIZABALETA FAJARDO</t>
  </si>
  <si>
    <t>CRISTIAN MAURICIO CLAROS GARCIA</t>
  </si>
  <si>
    <t>NATALIA BEDOYA RENDON</t>
  </si>
  <si>
    <t>GUILLERMO ALARCON BEDOYA</t>
  </si>
  <si>
    <t>HERNAN BANGUERO ANDRADE</t>
  </si>
  <si>
    <t>LINA MARIA MEJIA AGUIRRE</t>
  </si>
  <si>
    <t>JUAN PABLO CASTRO BARRETO</t>
  </si>
  <si>
    <t>JULIANA ANDREA OROZCO JARAMILLO</t>
  </si>
  <si>
    <t>HUMBERTO DE JESUS MERA VIAFARA</t>
  </si>
  <si>
    <t>HUBER ELIAS ANAYA CRUZ</t>
  </si>
  <si>
    <t>JESUS MAGIN</t>
  </si>
  <si>
    <t>ESTIVEL ALDEMAR SANCHEZ ERAZO</t>
  </si>
  <si>
    <t>GUILLERMO MURILLO MARTINEZ</t>
  </si>
  <si>
    <t>DEISY GONZALEZ GUAPACHA</t>
  </si>
  <si>
    <t>CARLOS ARTURO ALONSO GALINDO</t>
  </si>
  <si>
    <t>JHON AYALA FORERO</t>
  </si>
  <si>
    <t>LUIS HERNANDO MARQUINEZ GRUESO</t>
  </si>
  <si>
    <t>CARLOS ENRIQUE FLOREZ HURTADO</t>
  </si>
  <si>
    <t>YADIRA HINESTROZA TORRES</t>
  </si>
  <si>
    <t>KAROLINA SANABRIA ORDOÑEZ</t>
  </si>
  <si>
    <t>SANDRA MILENA CUELLAR RAMIREZ</t>
  </si>
  <si>
    <t>EDNA ROCIO LASPRILLA VIVEROS</t>
  </si>
  <si>
    <t>ISABEL CRISTINA ISAZIGA FERNANDEZ</t>
  </si>
  <si>
    <t>JAMES ALBERTO RENTERIA OLAYA</t>
  </si>
  <si>
    <t>RAFAEL ORLANDO ERAZO LAVERDE</t>
  </si>
  <si>
    <t>WILLIAM DARIO SICACHA GUTIERREZ</t>
  </si>
  <si>
    <t>JORGE WILLIAM ALVAREZ PINEDA</t>
  </si>
  <si>
    <t>CARLOS CUPERTINO ARAGON GARCIA</t>
  </si>
  <si>
    <t>VIVIANA RAMIREZ CHAVEZ</t>
  </si>
  <si>
    <t>LUIS RUBEN ECHEVERRY GAMBOA</t>
  </si>
  <si>
    <t>YULEIDY LARRAHONDO CARABALI</t>
  </si>
  <si>
    <t>JUAN BAUTISTA HERNANDEZ LONDOÑO</t>
  </si>
  <si>
    <t>JAIR MENESES GONZALEZ</t>
  </si>
  <si>
    <t>ARMANDO MUÑOZ GARCIA</t>
  </si>
  <si>
    <t>HERSON YAMID BEJARANO SANCHEZ</t>
  </si>
  <si>
    <t>JAIME SIERRA DELGADILLO</t>
  </si>
  <si>
    <t>ANDRES FELIPE GALINDO FARFAN</t>
  </si>
  <si>
    <t>SANDRA MILENA NAVARRO MONTEMIRANDA</t>
  </si>
  <si>
    <t>HORACIO NELSON CARVAJAL HERNANDEZ</t>
  </si>
  <si>
    <t>CARLOS ANDRES RUIZ SOTO</t>
  </si>
  <si>
    <t>CAROLINA MONTES LOPEZ</t>
  </si>
  <si>
    <t>JOHN ALEXANDER LOPEZ BENAVIDES</t>
  </si>
  <si>
    <t>LUZ DARY PEÑA TORRES</t>
  </si>
  <si>
    <t>SEBASTIAN ESTRADA MARIN</t>
  </si>
  <si>
    <t>SAULO OLAYA FAJARDO</t>
  </si>
  <si>
    <t>JULIAN PANIAGUA GRANADA</t>
  </si>
  <si>
    <t>FLOWER ENRIQUE ROJAS TORRES</t>
  </si>
  <si>
    <t>MARIA VERONICA DIAZ MENESES</t>
  </si>
  <si>
    <t>ROGER NICK SALAMANDO MONTEALGRE</t>
  </si>
  <si>
    <t>SANTIAGO MORENO VICTORIA</t>
  </si>
  <si>
    <t>REINERT MONTOYA LOPEZ</t>
  </si>
  <si>
    <t>JOSE MANUEL ANGULO CASTILLO</t>
  </si>
  <si>
    <t>SANDRA PATRICIA BUENO LOPEZ</t>
  </si>
  <si>
    <t>CAROL VANESA PEREZ MUÑOZ</t>
  </si>
  <si>
    <t>ANGELICA MARIA LASSO SANCHEZ</t>
  </si>
  <si>
    <t>JOHAN SEBASTIAN ROJAS VELEZ</t>
  </si>
  <si>
    <t>PATRICIA MOLINA BELTRAN</t>
  </si>
  <si>
    <t>KATTY LORENA ANGULO CAICEDO</t>
  </si>
  <si>
    <t>JOAQUIN MARINO ORTIZ AVIRAMA</t>
  </si>
  <si>
    <t>VICTOR ALFONSO VILLA GRISALES</t>
  </si>
  <si>
    <t>WILLIAM MOLINA</t>
  </si>
  <si>
    <t>JORGE GUAYARA FIGUEROA</t>
  </si>
  <si>
    <t>HECTOR HERNANDO ALTAMIRANO MAFLA</t>
  </si>
  <si>
    <t>FRANKLIN ARMANDO GARCIA GUERRA</t>
  </si>
  <si>
    <t>JORGE IVAN CABAL MARTINEZ</t>
  </si>
  <si>
    <t>ALFREDO MONDRAGON GARZON</t>
  </si>
  <si>
    <t>CLAUDIA LORENA ZUÑIGA MARTINEZ</t>
  </si>
  <si>
    <t xml:space="preserve">STEVEN VIDAL SANCHEZ </t>
  </si>
  <si>
    <t>CRISTOBAL ERNESTO NAVIA BURITICA</t>
  </si>
  <si>
    <t>MARTHA CECILIA CASAFUZ GRISALES</t>
  </si>
  <si>
    <t>MARIA RUBIELA ARANGO MARIN</t>
  </si>
  <si>
    <t xml:space="preserve">LUZ AMERICA MARIN GARZON </t>
  </si>
  <si>
    <t>EDGAR RAMIREZ DELGADO</t>
  </si>
  <si>
    <t>HENRY JHAMARILK CABEZAS DIAZ</t>
  </si>
  <si>
    <t>LACIDES MORENO CORDOBA</t>
  </si>
  <si>
    <t>WILSON LERMA ABADIA</t>
  </si>
  <si>
    <t>WILSON MORERA CEDEÑO</t>
  </si>
  <si>
    <t>SAMIR ENRIQUE GIL MURILLO</t>
  </si>
  <si>
    <t>LLEYO MORENO HINOJOZA</t>
  </si>
  <si>
    <t>MIGUEL GERONIMO MURILLO VELASQUEZ</t>
  </si>
  <si>
    <t>AMINSON GONZALEZ ORDOÑEZ</t>
  </si>
  <si>
    <t>CELIMO SINISTERRA</t>
  </si>
  <si>
    <t xml:space="preserve">JULIO CESAR MOSQUERA </t>
  </si>
  <si>
    <t>FERNANDO MAYA QUINTANA</t>
  </si>
  <si>
    <t>MARIA YERLY ASPRILLA IBARGUEN</t>
  </si>
  <si>
    <t>EULICER MOSQUERA PEREA</t>
  </si>
  <si>
    <t>KATHERIN JOHANNA MINA MONTENEGRO</t>
  </si>
  <si>
    <t>MARIA DANIR DIAZ LEMUS</t>
  </si>
  <si>
    <t>LUCERO MUÑOZ ROMERO</t>
  </si>
  <si>
    <t>LUZDEY GONZALEZ GALLEGO</t>
  </si>
  <si>
    <t>KAROL YULIETH MEJIA MARIN</t>
  </si>
  <si>
    <t xml:space="preserve">IVETH CARINA NAVIA REINA </t>
  </si>
  <si>
    <t>JOSE MARIA PAYAN VALENCIA</t>
  </si>
  <si>
    <t>LINIS LEYDI FIGUEROA OCAMPO</t>
  </si>
  <si>
    <t>ANDRES VERA RODRIGUEZ</t>
  </si>
  <si>
    <t>NORMA LILIANA PILLIMUE SALAMANCA</t>
  </si>
  <si>
    <t>DUBIANER GALLON CEBALLOS</t>
  </si>
  <si>
    <t>ANA CRISTINA MUÑOZ</t>
  </si>
  <si>
    <t>FLORENTINO GUETOTO</t>
  </si>
  <si>
    <t>WASHINTONG ALOMIA SEGURA</t>
  </si>
  <si>
    <t>SARA ROCIO MONTENEGRO CARVAJAL</t>
  </si>
  <si>
    <t>FREDDY MEDINA ANGULO</t>
  </si>
  <si>
    <t>YONNY ALEXIS ROJAS MARTINEZ</t>
  </si>
  <si>
    <t>PORFIRIO VALLECILLA ANGULO</t>
  </si>
  <si>
    <t>JORGE ERNESTO ANDRADE</t>
  </si>
  <si>
    <t>CHRISTIAN RENE SATASTY ORREGO</t>
  </si>
  <si>
    <t>VANESSA CUENCA POTES</t>
  </si>
  <si>
    <t>DUMAR ALBERTO MORENO MARTINEZ</t>
  </si>
  <si>
    <t>YEINCY JINET LARRAÑAGA ANGULO</t>
  </si>
  <si>
    <t>GREGORIO CARPIO RODALLEGA</t>
  </si>
  <si>
    <t>MARY LUZ ORDOÑEZ GODOY</t>
  </si>
  <si>
    <t>LUIS MILTON CASTILLO QUIÑONEZ</t>
  </si>
  <si>
    <t>MAYRA ALEJANDRA ANDRADE SERNA</t>
  </si>
  <si>
    <t>JACK GARCIA MORALES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</si>
</sst>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_-* #,##0_-;\-* #,##0_-;_-* &quot;-&quot;??_-;_-@"/>
    <numFmt numFmtId="165" formatCode="#,##0.00_ ;[Red]\-#,##0.00\ "/>
    <numFmt numFmtId="166" formatCode="0.0%"/>
    <numFmt numFmtId="167" formatCode="_-* #,##0.00_-;\-* #,##0.00_-;_-* &quot;-&quot;??_-;_-@"/>
  </numFmts>
  <fonts count="7">
    <font>
      <sz val="11.0"/>
      <color rgb="FF000000"/>
      <name val="Calibri"/>
    </font>
    <font>
      <b/>
      <sz val="11.0"/>
      <color rgb="FF000000"/>
      <name val="Calibri"/>
    </font>
    <font>
      <b/>
      <sz val="14.0"/>
      <color rgb="FF000000"/>
      <name val="Calibri"/>
    </font>
    <font>
      <b/>
      <sz val="14.0"/>
      <color rgb="FF000000"/>
      <name val="Algerian"/>
    </font>
    <font>
      <sz val="14.0"/>
      <color rgb="FF000000"/>
      <name val="Algerian"/>
    </font>
    <font>
      <b/>
      <i/>
      <sz val="12.0"/>
      <color rgb="FFFFFFFF"/>
      <name val="Calibri"/>
    </font>
    <font>
      <sz val="11.0"/>
      <color rgb="FFFFFFFF"/>
      <name val="Calibri"/>
    </font>
  </fonts>
  <fills count="6">
    <fill>
      <patternFill patternType="none"/>
    </fill>
    <fill>
      <patternFill patternType="lightGray"/>
    </fill>
    <fill>
      <patternFill patternType="solid">
        <fgColor rgb="FF00B050"/>
        <bgColor rgb="FF00B050"/>
      </patternFill>
    </fill>
    <fill>
      <patternFill patternType="solid">
        <fgColor rgb="FF95B3D7"/>
        <bgColor rgb="FF95B3D7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rgb="FFFFFF00"/>
      </patternFill>
    </fill>
  </fills>
  <borders count="9">
    <border/>
    <border>
      <left style="thin">
        <color rgb="FF4F81BD"/>
      </left>
      <right style="thin">
        <color rgb="FF4F81BD"/>
      </right>
      <top style="thin">
        <color rgb="FF4F81BD"/>
      </top>
      <bottom/>
    </border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 style="double">
        <color rgb="FF000000"/>
      </bottom>
    </border>
    <border>
      <left/>
      <right/>
      <top style="thin">
        <color rgb="FF000000"/>
      </top>
      <bottom style="double">
        <color rgb="FF000000"/>
      </bottom>
    </border>
    <border>
      <left style="thin">
        <color rgb="FF4F81BD"/>
      </left>
      <right style="thin">
        <color rgb="FF4F81BD"/>
      </right>
      <top style="thin">
        <color rgb="FF000000"/>
      </top>
      <bottom style="double">
        <color rgb="FF000000"/>
      </bottom>
    </border>
    <border>
      <left/>
      <right style="thin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32">
    <xf borderId="0" fillId="0" fontId="0" numFmtId="0" xfId="0" applyAlignment="1" applyFont="1">
      <alignment readingOrder="0" shrinkToFit="0" vertical="bottom" wrapText="0"/>
    </xf>
    <xf borderId="0" fillId="0" fontId="0" numFmtId="0" xfId="0" applyAlignment="1" applyFont="1">
      <alignment shrinkToFit="0" wrapText="1"/>
    </xf>
    <xf borderId="0" fillId="0" fontId="1" numFmtId="0" xfId="0" applyAlignment="1" applyFont="1">
      <alignment horizontal="center" shrinkToFit="0" vertical="center" wrapText="1"/>
    </xf>
    <xf borderId="0" fillId="0" fontId="0" numFmtId="0" xfId="0" applyAlignment="1" applyFont="1">
      <alignment shrinkToFit="0" wrapText="1"/>
    </xf>
    <xf borderId="0" fillId="0" fontId="0" numFmtId="0" xfId="0" applyFont="1"/>
    <xf borderId="0" fillId="0" fontId="1" numFmtId="164" xfId="0" applyFont="1" applyNumberFormat="1"/>
    <xf borderId="0" fillId="0" fontId="0" numFmtId="164" xfId="0" applyFont="1" applyNumberFormat="1"/>
    <xf borderId="0" fillId="0" fontId="2" numFmtId="0" xfId="0" applyFont="1"/>
    <xf borderId="0" fillId="0" fontId="0" numFmtId="165" xfId="0" applyFont="1" applyNumberFormat="1"/>
    <xf borderId="0" fillId="0" fontId="0" numFmtId="166" xfId="0" applyFont="1" applyNumberFormat="1"/>
    <xf borderId="0" fillId="0" fontId="0" numFmtId="0" xfId="0" applyFont="1"/>
    <xf borderId="0" fillId="0" fontId="2" numFmtId="164" xfId="0" applyFont="1" applyNumberFormat="1"/>
    <xf borderId="0" fillId="0" fontId="2" numFmtId="167" xfId="0" applyFont="1" applyNumberFormat="1"/>
    <xf borderId="1" fillId="2" fontId="3" numFmtId="0" xfId="0" applyAlignment="1" applyBorder="1" applyFill="1" applyFont="1">
      <alignment shrinkToFit="0" wrapText="1"/>
    </xf>
    <xf borderId="2" fillId="2" fontId="4" numFmtId="0" xfId="0" applyAlignment="1" applyBorder="1" applyFont="1">
      <alignment shrinkToFit="0" wrapText="1"/>
    </xf>
    <xf borderId="3" fillId="2" fontId="3" numFmtId="0" xfId="0" applyAlignment="1" applyBorder="1" applyFont="1">
      <alignment horizontal="center" shrinkToFit="0" vertical="center" wrapText="1"/>
    </xf>
    <xf borderId="4" fillId="3" fontId="5" numFmtId="0" xfId="0" applyBorder="1" applyFill="1" applyFont="1"/>
    <xf borderId="5" fillId="4" fontId="6" numFmtId="0" xfId="0" applyBorder="1" applyFill="1" applyFont="1"/>
    <xf borderId="5" fillId="3" fontId="5" numFmtId="0" xfId="0" applyBorder="1" applyFont="1"/>
    <xf borderId="6" fillId="3" fontId="5" numFmtId="0" xfId="0" applyBorder="1" applyFont="1"/>
    <xf borderId="7" fillId="3" fontId="5" numFmtId="0" xfId="0" applyBorder="1" applyFont="1"/>
    <xf borderId="2" fillId="4" fontId="0" numFmtId="0" xfId="0" applyBorder="1" applyFont="1"/>
    <xf borderId="8" fillId="0" fontId="1" numFmtId="0" xfId="0" applyAlignment="1" applyBorder="1" applyFont="1">
      <alignment horizontal="center" shrinkToFit="0" vertical="center" wrapText="1"/>
    </xf>
    <xf borderId="8" fillId="5" fontId="1" numFmtId="0" xfId="0" applyAlignment="1" applyBorder="1" applyFill="1" applyFont="1">
      <alignment horizontal="center" shrinkToFit="0" vertical="center" wrapText="1"/>
    </xf>
    <xf borderId="2" fillId="5" fontId="0" numFmtId="0" xfId="0" applyBorder="1" applyFont="1"/>
    <xf borderId="2" fillId="5" fontId="2" numFmtId="164" xfId="0" applyBorder="1" applyFont="1" applyNumberFormat="1"/>
    <xf borderId="2" fillId="5" fontId="2" numFmtId="0" xfId="0" applyBorder="1" applyFont="1"/>
    <xf borderId="2" fillId="5" fontId="0" numFmtId="0" xfId="0" applyBorder="1" applyFont="1"/>
    <xf borderId="8" fillId="0" fontId="0" numFmtId="0" xfId="0" applyAlignment="1" applyBorder="1" applyFont="1">
      <alignment horizontal="center"/>
    </xf>
    <xf borderId="8" fillId="0" fontId="0" numFmtId="0" xfId="0" applyAlignment="1" applyBorder="1" applyFont="1">
      <alignment horizontal="left"/>
    </xf>
    <xf borderId="2" fillId="5" fontId="0" numFmtId="164" xfId="0" applyBorder="1" applyFont="1" applyNumberFormat="1"/>
    <xf borderId="8" fillId="5" fontId="0" numFmtId="0" xfId="0" applyAlignment="1" applyBorder="1" applyFont="1">
      <alignment horizontal="center"/>
    </xf>
  </cellXfs>
  <cellStyles count="1">
    <cellStyle xfId="0" name="Normal" builtinId="0"/>
  </cellStyles>
  <dxfs count="7">
    <dxf>
      <font/>
      <fill>
        <patternFill patternType="none"/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A5A5A5"/>
          <bgColor rgb="FFA5A5A5"/>
        </patternFill>
      </fill>
      <border/>
    </dxf>
    <dxf>
      <font/>
      <fill>
        <patternFill patternType="solid">
          <fgColor rgb="FFD8D8D8"/>
          <bgColor rgb="FFD8D8D8"/>
        </patternFill>
      </fill>
      <border/>
    </dxf>
    <dxf>
      <font>
        <color rgb="FF9C0006"/>
      </font>
      <fill>
        <patternFill patternType="solid">
          <fgColor rgb="FFFFC7CE"/>
          <bgColor rgb="FFFFC7CE"/>
        </patternFill>
      </fill>
      <border/>
    </dxf>
    <dxf>
      <font>
        <color rgb="FF006100"/>
      </font>
      <fill>
        <patternFill patternType="solid">
          <fgColor rgb="FFC6EFCE"/>
          <bgColor rgb="FFC6EFCE"/>
        </patternFill>
      </fill>
      <border/>
    </dxf>
    <dxf>
      <font/>
      <fill>
        <patternFill patternType="solid">
          <fgColor rgb="FFDBE5F1"/>
          <bgColor rgb="FFDBE5F1"/>
        </patternFill>
      </fill>
      <border/>
    </dxf>
  </dxfs>
  <tableStyles count="2">
    <tableStyle count="3" pivot="0" name="CIFCAL-style">
      <tableStyleElement dxfId="1" type="headerRow"/>
      <tableStyleElement dxfId="2" type="firstRowStripe"/>
      <tableStyleElement dxfId="3" type="secondRowStripe"/>
    </tableStyle>
    <tableStyle count="3" pivot="0" name="CANDCALI-style">
      <tableStyleElement dxfId="1" type="headerRow"/>
      <tableStyleElement dxfId="6" type="firstRowStripe"/>
      <tableStyleElement dxfId="6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chartsheet" Target="chartsheets/sheet3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chartsheet" Target="chartsheets/sheet1.xml"/><Relationship Id="rId8" Type="http://schemas.openxmlformats.org/officeDocument/2006/relationships/chartsheet" Target="chartsheets/sheet2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000000"/>
                </a:solidFill>
                <a:latin typeface="Roboto"/>
              </a:defRPr>
            </a:pPr>
            <a:r>
              <a:rPr b="1" i="0">
                <a:solidFill>
                  <a:srgbClr val="000000"/>
                </a:solidFill>
                <a:latin typeface="Roboto"/>
              </a:rPr>
              <a:t> VOTOS PARTIDOS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tx>
            <c:strRef>
              <c:f>CIFCAL!$D$1</c:f>
            </c:strRef>
          </c:tx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DB4437"/>
              </a:solidFill>
            </c:spPr>
          </c:dPt>
          <c:dPt>
            <c:idx val="2"/>
            <c:spPr>
              <a:solidFill>
                <a:srgbClr val="F4B400"/>
              </a:solidFill>
            </c:spPr>
          </c:dPt>
          <c:dPt>
            <c:idx val="3"/>
            <c:spPr>
              <a:solidFill>
                <a:srgbClr val="0F9D58"/>
              </a:solidFill>
            </c:spPr>
          </c:dPt>
          <c:dPt>
            <c:idx val="4"/>
            <c:spPr>
              <a:solidFill>
                <a:srgbClr val="FF6D00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AB30C4"/>
              </a:solidFill>
            </c:spPr>
          </c:dPt>
          <c:dPt>
            <c:idx val="7"/>
            <c:spPr>
              <a:solidFill>
                <a:srgbClr val="C1BC1F"/>
              </a:solidFill>
            </c:spPr>
          </c:dPt>
          <c:dPt>
            <c:idx val="8"/>
            <c:spPr>
              <a:solidFill>
                <a:srgbClr val="3949AB"/>
              </a:solidFill>
            </c:spPr>
          </c:dPt>
          <c:dPt>
            <c:idx val="9"/>
            <c:spPr>
              <a:solidFill>
                <a:srgbClr val="F975A8"/>
              </a:solidFill>
            </c:spPr>
          </c:dPt>
          <c:dPt>
            <c:idx val="10"/>
            <c:spPr>
              <a:solidFill>
                <a:srgbClr val="00695C"/>
              </a:solidFill>
            </c:spPr>
          </c:dPt>
          <c:dPt>
            <c:idx val="11"/>
            <c:spPr>
              <a:solidFill>
                <a:srgbClr val="C2185B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CIFCAL!$B$2:$B$13</c:f>
            </c:strRef>
          </c:cat>
          <c:val>
            <c:numRef>
              <c:f>CIFCAL!$D$2:$D$13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tx>
            <c:strRef>
              <c:f>CIFCAL!$AC$1</c:f>
            </c:strRef>
          </c:tx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DB4437"/>
              </a:solidFill>
            </c:spPr>
          </c:dPt>
          <c:dPt>
            <c:idx val="2"/>
            <c:spPr>
              <a:solidFill>
                <a:srgbClr val="F4B400"/>
              </a:solidFill>
            </c:spPr>
          </c:dPt>
          <c:dPt>
            <c:idx val="3"/>
            <c:spPr>
              <a:solidFill>
                <a:srgbClr val="0F9D58"/>
              </a:solidFill>
            </c:spPr>
          </c:dPt>
          <c:dPt>
            <c:idx val="4"/>
            <c:spPr>
              <a:solidFill>
                <a:srgbClr val="FF6D00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AB30C4"/>
              </a:solidFill>
            </c:spPr>
          </c:dPt>
          <c:dPt>
            <c:idx val="7"/>
            <c:spPr>
              <a:solidFill>
                <a:srgbClr val="C1BC1F"/>
              </a:solidFill>
            </c:spPr>
          </c:dPt>
          <c:dPt>
            <c:idx val="8"/>
            <c:spPr>
              <a:solidFill>
                <a:srgbClr val="3949AB"/>
              </a:solidFill>
            </c:spPr>
          </c:dPt>
          <c:dPt>
            <c:idx val="9"/>
            <c:spPr>
              <a:solidFill>
                <a:srgbClr val="F975A8"/>
              </a:solidFill>
            </c:spPr>
          </c:dPt>
          <c:dPt>
            <c:idx val="10"/>
            <c:spPr>
              <a:solidFill>
                <a:srgbClr val="00695C"/>
              </a:solidFill>
            </c:spPr>
          </c:dPt>
          <c:dPt>
            <c:idx val="11"/>
            <c:spPr>
              <a:solidFill>
                <a:srgbClr val="C2185B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CIFCAL!$B$2:$B$13</c:f>
            </c:strRef>
          </c:cat>
          <c:val>
            <c:numRef>
              <c:f>CIFCAL!$AC$2:$AC$13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radarChart>
        <c:radarStyle val="marker"/>
        <c:ser>
          <c:idx val="0"/>
          <c:order val="0"/>
          <c:tx>
            <c:strRef>
              <c:f>CIFCAL!$AE$1</c:f>
            </c:strRef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CIFCAL!$B$2:$B$13</c:f>
            </c:strRef>
          </c:cat>
          <c:val>
            <c:numRef>
              <c:f>CIFCAL!$AE$2:$AE$13</c:f>
              <c:numCache/>
            </c:numRef>
          </c:val>
          <c:smooth val="1"/>
        </c:ser>
        <c:axId val="394350560"/>
        <c:axId val="1190635533"/>
      </c:radarChart>
      <c:catAx>
        <c:axId val="394350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Roboto"/>
                  </a:defRPr>
                </a:pPr>
                <a:r>
                  <a:rPr b="0">
                    <a:solidFill>
                      <a:srgbClr val="000000"/>
                    </a:solidFill>
                    <a:latin typeface="Roboto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Roboto"/>
              </a:defRPr>
            </a:pPr>
          </a:p>
        </c:txPr>
        <c:crossAx val="1190635533"/>
      </c:catAx>
      <c:valAx>
        <c:axId val="119063553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Roboto"/>
                  </a:defRPr>
                </a:pPr>
                <a:r>
                  <a:rPr b="0">
                    <a:solidFill>
                      <a:srgbClr val="000000"/>
                    </a:solidFill>
                    <a:latin typeface="Roboto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Roboto"/>
              </a:defRPr>
            </a:pPr>
          </a:p>
        </c:txPr>
        <c:crossAx val="394350560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000000"/>
              </a:solidFill>
              <a:latin typeface="Roboto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strRef>
              <c:f>CIFCAL!$AF$1</c:f>
            </c:strRef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 lvl="0">
                  <a:defRPr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CIFCAL!$B$2:$B$13</c:f>
            </c:strRef>
          </c:cat>
          <c:val>
            <c:numRef>
              <c:f>CIFCAL!$AF$2:$AF$13</c:f>
              <c:numCache/>
            </c:numRef>
          </c:val>
          <c:smooth val="0"/>
        </c:ser>
        <c:axId val="2100238590"/>
        <c:axId val="859244400"/>
      </c:lineChart>
      <c:catAx>
        <c:axId val="210023859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Roboto"/>
                  </a:defRPr>
                </a:pPr>
                <a:r>
                  <a:rPr b="0">
                    <a:solidFill>
                      <a:srgbClr val="000000"/>
                    </a:solidFill>
                    <a:latin typeface="Roboto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Roboto"/>
              </a:defRPr>
            </a:pPr>
          </a:p>
        </c:txPr>
        <c:crossAx val="859244400"/>
      </c:catAx>
      <c:valAx>
        <c:axId val="85924440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Roboto"/>
                  </a:defRPr>
                </a:pPr>
                <a:r>
                  <a:rPr b="0">
                    <a:solidFill>
                      <a:srgbClr val="000000"/>
                    </a:solidFill>
                    <a:latin typeface="Roboto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Roboto"/>
              </a:defRPr>
            </a:pPr>
          </a:p>
        </c:txPr>
        <c:crossAx val="2100238590"/>
      </c:valAx>
    </c:plotArea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radarChart>
        <c:radarStyle val="marker"/>
        <c:ser>
          <c:idx val="0"/>
          <c:order val="0"/>
          <c:tx>
            <c:strRef>
              <c:f>CIFCAL!$AE$1</c:f>
            </c:strRef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CIFCAL!$C$2:$C$13</c:f>
            </c:strRef>
          </c:cat>
          <c:val>
            <c:numRef>
              <c:f>CIFCAL!$AE$2:$AE$13</c:f>
              <c:numCache/>
            </c:numRef>
          </c:val>
          <c:smooth val="1"/>
        </c:ser>
        <c:axId val="962318248"/>
        <c:axId val="721383368"/>
      </c:radarChart>
      <c:catAx>
        <c:axId val="962318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Roboto"/>
                  </a:defRPr>
                </a:pPr>
                <a:r>
                  <a:rPr b="0">
                    <a:solidFill>
                      <a:srgbClr val="000000"/>
                    </a:solidFill>
                    <a:latin typeface="Roboto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Roboto"/>
              </a:defRPr>
            </a:pPr>
          </a:p>
        </c:txPr>
        <c:crossAx val="721383368"/>
      </c:catAx>
      <c:valAx>
        <c:axId val="72138336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Roboto"/>
                  </a:defRPr>
                </a:pPr>
                <a:r>
                  <a:rPr b="0">
                    <a:solidFill>
                      <a:srgbClr val="000000"/>
                    </a:solidFill>
                    <a:latin typeface="Roboto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Roboto"/>
              </a:defRPr>
            </a:pPr>
          </a:p>
        </c:txPr>
        <c:crossAx val="962318248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000000"/>
              </a:solidFill>
              <a:latin typeface="Roboto"/>
            </a:defRPr>
          </a:pPr>
        </a:p>
      </c:txPr>
    </c:legend>
    <c:plotVisOnly val="1"/>
  </c:chart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000000"/>
                </a:solidFill>
                <a:latin typeface="Roboto"/>
              </a:defRPr>
            </a:pPr>
            <a:r>
              <a:rPr b="1" i="0">
                <a:solidFill>
                  <a:srgbClr val="000000"/>
                </a:solidFill>
                <a:latin typeface="Roboto"/>
              </a:rPr>
              <a:t> VOTOS Y % DE VOTOS PARTIDOS CONCEJO DE CALI</a:t>
            </a:r>
          </a:p>
        </c:rich>
      </c:tx>
      <c:overlay val="0"/>
    </c:title>
    <c:view3D>
      <c:rotX val="50"/>
      <c:perspective val="0"/>
    </c:view3D>
    <c:plotArea>
      <c:layout>
        <c:manualLayout>
          <c:xMode val="edge"/>
          <c:yMode val="edge"/>
          <c:x val="0.0462338842260102"/>
          <c:y val="0.0"/>
          <c:w val="0.8845383124156881"/>
          <c:h val="1.0"/>
        </c:manualLayout>
      </c:layout>
      <c:pie3DChart>
        <c:varyColors val="1"/>
        <c:ser>
          <c:idx val="0"/>
          <c:order val="0"/>
          <c:tx>
            <c:strRef>
              <c:f>CIFCAL!$D$1</c:f>
            </c:strRef>
          </c:tx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DB4437"/>
              </a:solidFill>
            </c:spPr>
          </c:dPt>
          <c:dPt>
            <c:idx val="2"/>
            <c:spPr>
              <a:solidFill>
                <a:srgbClr val="F4B4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FF6D00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AB30C4"/>
              </a:solidFill>
            </c:spPr>
          </c:dPt>
          <c:dPt>
            <c:idx val="7"/>
            <c:spPr>
              <a:solidFill>
                <a:srgbClr val="C1BC1F"/>
              </a:solidFill>
            </c:spPr>
          </c:dPt>
          <c:dPt>
            <c:idx val="8"/>
            <c:spPr>
              <a:solidFill>
                <a:srgbClr val="3949AB"/>
              </a:solidFill>
            </c:spPr>
          </c:dPt>
          <c:dPt>
            <c:idx val="9"/>
            <c:spPr>
              <a:solidFill>
                <a:srgbClr val="FFFF00"/>
              </a:solidFill>
            </c:spPr>
          </c:dPt>
          <c:dPt>
            <c:idx val="10"/>
            <c:spPr>
              <a:solidFill>
                <a:srgbClr val="00695C"/>
              </a:solidFill>
            </c:spPr>
          </c:dPt>
          <c:dPt>
            <c:idx val="11"/>
            <c:spPr>
              <a:solidFill>
                <a:srgbClr val="C2185B"/>
              </a:solidFill>
            </c:spPr>
          </c:dPt>
          <c:dPt>
            <c:idx val="12"/>
            <c:spPr>
              <a:solidFill>
                <a:srgbClr val="4285F4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CIFCAL!$C$2:$C$14</c:f>
            </c:strRef>
          </c:cat>
          <c:val>
            <c:numRef>
              <c:f>CIFCAL!$D$2:$D$14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plotVisOnly val="1"/>
  </c:chart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tx>
            <c:strRef>
              <c:f>CIFCAL!$AC$1</c:f>
            </c:strRef>
          </c:tx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DB4437"/>
              </a:solidFill>
            </c:spPr>
          </c:dPt>
          <c:dPt>
            <c:idx val="2"/>
            <c:spPr>
              <a:solidFill>
                <a:srgbClr val="F4B4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FF6D00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AB30C4"/>
              </a:solidFill>
            </c:spPr>
          </c:dPt>
          <c:dPt>
            <c:idx val="7"/>
            <c:spPr>
              <a:solidFill>
                <a:srgbClr val="C1BC1F"/>
              </a:solidFill>
            </c:spPr>
          </c:dPt>
          <c:dPt>
            <c:idx val="8"/>
            <c:spPr>
              <a:solidFill>
                <a:srgbClr val="00B050"/>
              </a:solidFill>
            </c:spPr>
          </c:dPt>
          <c:dPt>
            <c:idx val="9"/>
            <c:spPr>
              <a:solidFill>
                <a:srgbClr val="F975A8"/>
              </a:solidFill>
            </c:spPr>
          </c:dPt>
          <c:dPt>
            <c:idx val="10"/>
            <c:spPr>
              <a:solidFill>
                <a:srgbClr val="00695C"/>
              </a:solidFill>
            </c:spPr>
          </c:dPt>
          <c:dPt>
            <c:idx val="11"/>
            <c:spPr>
              <a:solidFill>
                <a:srgbClr val="C2185B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CIFCAL!$C$2:$C$13</c:f>
            </c:strRef>
          </c:cat>
          <c:val>
            <c:numRef>
              <c:f>CIFCAL!$AC$2:$AC$13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plotVisOnly val="1"/>
  </c:chart>
</c:chartSpace>
</file>

<file path=xl/chart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Views>
    <sheetView workbookViewId="0"/>
  </sheetViews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Views>
    <sheetView workbookViewId="0"/>
  </sheetViews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Views>
    <sheetView workbookViewId="0"/>
  </sheetViews>
  <drawing r:id="rId1"/>
</chartsheet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18</xdr:row>
      <xdr:rowOff>161925</xdr:rowOff>
    </xdr:from>
    <xdr:ext cx="4581525" cy="2886075"/>
    <xdr:graphicFrame>
      <xdr:nvGraphicFramePr>
        <xdr:cNvPr id="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2</xdr:col>
      <xdr:colOff>3114675</xdr:colOff>
      <xdr:row>18</xdr:row>
      <xdr:rowOff>47625</xdr:rowOff>
    </xdr:from>
    <xdr:ext cx="9963150" cy="2876550"/>
    <xdr:graphicFrame>
      <xdr:nvGraphicFramePr>
        <xdr:cNvPr id="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30</xdr:col>
      <xdr:colOff>485775</xdr:colOff>
      <xdr:row>18</xdr:row>
      <xdr:rowOff>104775</xdr:rowOff>
    </xdr:from>
    <xdr:ext cx="4381500" cy="2876550"/>
    <xdr:graphicFrame>
      <xdr:nvGraphicFramePr>
        <xdr:cNvPr id="3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32</xdr:col>
      <xdr:colOff>0</xdr:colOff>
      <xdr:row>2</xdr:row>
      <xdr:rowOff>200025</xdr:rowOff>
    </xdr:from>
    <xdr:ext cx="4286250" cy="2286000"/>
    <xdr:graphicFrame>
      <xdr:nvGraphicFramePr>
        <xdr:cNvPr id="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10</xdr:col>
      <xdr:colOff>47625</xdr:colOff>
      <xdr:row>0</xdr:row>
      <xdr:rowOff>9525</xdr:rowOff>
    </xdr:from>
    <xdr:ext cx="1466850" cy="457200"/>
    <xdr:sp macro="" textlink="">
      <xdr:nvSpPr>
        <xdr:cNvPr hidden="1" id="2051" name="Button 3">
          <a:extLst>
            <a:ext uri="{63B3BB69-23CF-44E3-9099-C40C66FF867C}"/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anchor="ctr" bIns="32004" lIns="36576" rIns="36576" upright="1" wrap="square" tIns="32004" vertOverflow="clip"/>
        <a:lstStyle/>
        <a:p>
          <a:pPr lvl="0" rtl="0" algn="ctr">
            <a:defRPr sz="1000"/>
          </a:pPr>
          <a:r>
            <a:rPr b="1" i="1" lang="es-ES" sz="1400" u="none" strike="noStrike">
              <a:solidFill>
                <a:srgbClr val="000000"/>
              </a:solidFill>
              <a:latin typeface="Calibri"/>
            </a:rPr>
            <a:t>VER ELEGIDOS</a:t>
          </a:r>
        </a:p>
      </xdr:txBody>
    </xdr:sp>
    <xdr:clientData fLocksWithSheet="0"/>
  </xdr:oneCellAnchor>
  <xdr:oneCellAnchor>
    <xdr:from>
      <xdr:col>10</xdr:col>
      <xdr:colOff>200025</xdr:colOff>
      <xdr:row>2</xdr:row>
      <xdr:rowOff>0</xdr:rowOff>
    </xdr:from>
    <xdr:ext cx="1285875" cy="619125"/>
    <xdr:sp macro="[0]!LIMPIARDATOS" textlink="">
      <xdr:nvSpPr>
        <xdr:cNvPr id="2" name="1 Elipse"/>
        <xdr:cNvSpPr/>
      </xdr:nvSpPr>
      <xdr:spPr>
        <a:xfrm>
          <a:off x="10487025" y="685800"/>
          <a:ext cx="1285875" cy="627368"/>
        </a:xfrm>
        <a:prstGeom prst="ellipse">
          <a:avLst/>
        </a:prstGeom>
        <a:solidFill>
          <a:schemeClr val="accent1"/>
        </a:solidFill>
        <a:ln cap="flat" cmpd="sng" w="25400" algn="ctr">
          <a:solidFill>
            <a:srgbClr val="FF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Ctr="0" anchor="ctr" rtlCol="0" horzOverflow="clip" vertOverflow="clip">
          <a:spAutoFit/>
        </a:bodyPr>
        <a:lstStyle/>
        <a:p>
          <a:pPr lvl="0" algn="l"/>
          <a:r>
            <a:rPr b="1" i="1" lang="es-CO" sz="1160"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effectLst>
                <a:outerShdw blurRad="50800" rotWithShape="0" algn="ctr" dir="5400000" dist="50800">
                  <a:schemeClr val="bg1">
                    <a:lumMod val="75000"/>
                  </a:schemeClr>
                </a:outerShdw>
              </a:effectLst>
            </a:rPr>
            <a:t>LIMPIAR</a:t>
          </a:r>
        </a:p>
        <a:p>
          <a:pPr lvl="0" algn="l"/>
          <a:r>
            <a:rPr lang="es-CO" sz="1100"/>
            <a:t>DATOS</a:t>
          </a:r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absoluteAnchor>
    <xdr:pos x="0" y="0"/>
    <xdr:ext cx="8610600" cy="6276975"/>
    <xdr:graphicFrame>
      <xdr:nvGraphicFramePr>
        <xdr:cNvPr id="5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absoluteAnchor>
    <xdr:pos x="0" y="0"/>
    <xdr:ext cx="8610600" cy="6276975"/>
    <xdr:graphicFrame>
      <xdr:nvGraphicFramePr>
        <xdr:cNvPr id="6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absoluteAnchor>
    <xdr:pos x="0" y="0"/>
    <xdr:ext cx="8610600" cy="6276975"/>
    <xdr:graphicFrame>
      <xdr:nvGraphicFramePr>
        <xdr:cNvPr id="7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tables/table1.xml><?xml version="1.0" encoding="utf-8"?>
<table xmlns="http://schemas.openxmlformats.org/spreadsheetml/2006/main" ref="A1:AF18" displayName="Table_1" id="1">
  <tableColumns count="32">
    <tableColumn name="#PARTIDO" id="1"/>
    <tableColumn name="NOMBRE CORTO" id="2"/>
    <tableColumn name="Partidos o Grupo Significativo" id="3"/>
    <tableColumn name=" VOTOS" id="4"/>
    <tableColumn name="CURULES" id="5"/>
    <tableColumn name="PARTIDOS CON UMBRAL" id="6"/>
    <tableColumn name="Datos cálculos" id="7"/>
    <tableColumn name="1" id="8"/>
    <tableColumn name="2" id="9"/>
    <tableColumn name="3" id="10"/>
    <tableColumn name="4" id="11"/>
    <tableColumn name="5" id="12"/>
    <tableColumn name="6" id="13"/>
    <tableColumn name="7" id="14"/>
    <tableColumn name="8" id="15"/>
    <tableColumn name="9" id="16"/>
    <tableColumn name="10" id="17"/>
    <tableColumn name="11" id="18"/>
    <tableColumn name="12" id="19"/>
    <tableColumn name="13" id="20"/>
    <tableColumn name="14" id="21"/>
    <tableColumn name="15" id="22"/>
    <tableColumn name="16" id="23"/>
    <tableColumn name="17" id="24"/>
    <tableColumn name="18" id="25"/>
    <tableColumn name="19" id="26"/>
    <tableColumn name="20" id="27"/>
    <tableColumn name="21" id="28"/>
    <tableColumn name="CURULES OBTENIDAS" id="29"/>
    <tableColumn name="VOTOS PERDIDOS" id="30"/>
    <tableColumn name="DISTANCIA AL UMBRAL" id="31"/>
    <tableColumn name="%VOTOS VALIDOS" id="32"/>
  </tableColumns>
  <tableStyleInfo name="CIFCAL-style" showColumnStripes="0" showFirstColumn="1" showLastColumn="1" showRowStripes="1"/>
</table>
</file>

<file path=xl/tables/table2.xml><?xml version="1.0" encoding="utf-8"?>
<table xmlns="http://schemas.openxmlformats.org/spreadsheetml/2006/main" ref="A7:K246" displayName="Table_2" id="2">
  <tableColumns count="11">
    <tableColumn name="CODCANDUNICO" id="1"/>
    <tableColumn name="#PARTIDO" id="2"/>
    <tableColumn name="PARTIDO O MOVIMIENTO POLÍTICO" id="3"/>
    <tableColumn name="Cod. Candidato" id="4"/>
    <tableColumn name="Nombres y Apellidos " id="5"/>
    <tableColumn name="GÉNERO" id="6"/>
    <tableColumn name="VOTOS CANDIDATOS" id="7"/>
    <tableColumn name="VOTOS" id="8"/>
    <tableColumn name="CURULES" id="9"/>
    <tableColumn name="K&gt;" id="10"/>
    <tableColumn name="ELEGIDOS" id="11"/>
  </tableColumns>
  <tableStyleInfo name="CANDCALI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Tema de Offic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cap="flat" cmpd="sng" w="9525" algn="ctr">
          <a:solidFill>
            <a:schemeClr val="phClr">
              <a:shade val="95000"/>
              <a:satMod val="105000"/>
            </a:schemeClr>
          </a:solidFill>
          <a:prstDash val="solid"/>
        </a:ln>
        <a:ln cap="flat" cmpd="sng" w="25400" algn="ctr">
          <a:solidFill>
            <a:schemeClr val="phClr"/>
          </a:solidFill>
          <a:prstDash val="solid"/>
        </a:ln>
        <a:ln cap="flat" cmpd="sng" w="38100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rotWithShape="0" dir="5400000" dist="20000">
              <a:srgbClr val="000000">
                <a:alpha val="38000"/>
              </a:srgbClr>
            </a:outerShdw>
          </a:effectLst>
        </a:effectStyle>
        <a:effectStyle>
          <a:effectLst>
            <a:outerShdw blurRad="40000" rotWithShape="0" dir="5400000" dist="23000">
              <a:srgbClr val="000000">
                <a:alpha val="35000"/>
              </a:srgbClr>
            </a:outerShdw>
          </a:effectLst>
        </a:effectStyle>
        <a:effectStyle>
          <a:effectLst>
            <a:outerShdw blurRad="40000" rotWithShape="0" dir="5400000" dist="2300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Relationship Id="rId5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0B050"/>
    <pageSetUpPr/>
  </sheetPr>
  <sheetViews>
    <sheetView workbookViewId="0"/>
  </sheetViews>
  <sheetFormatPr customHeight="1" defaultColWidth="14.43" defaultRowHeight="15.0"/>
  <cols>
    <col customWidth="1" min="1" max="1" width="12.0"/>
    <col customWidth="1" min="2" max="2" width="12.14"/>
    <col customWidth="1" min="3" max="3" width="52.57"/>
    <col customWidth="1" min="4" max="4" width="14.43"/>
    <col customWidth="1" hidden="1" min="5" max="5" width="10.71"/>
    <col customWidth="1" min="6" max="6" width="24.29"/>
    <col customWidth="1" hidden="1" min="7" max="7" width="11.43"/>
    <col customWidth="1" hidden="1" min="8" max="16" width="2.0"/>
    <col customWidth="1" hidden="1" min="17" max="28" width="3.0"/>
    <col customWidth="1" min="29" max="29" width="11.0"/>
    <col customWidth="1" min="30" max="30" width="11.29"/>
    <col customWidth="1" min="31" max="31" width="12.57"/>
    <col customWidth="1" min="32" max="32" width="11.86"/>
    <col customWidth="1" min="33" max="39" width="10.71"/>
  </cols>
  <sheetData>
    <row r="1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3"/>
      <c r="AH1" s="3"/>
      <c r="AI1" s="3"/>
      <c r="AJ1" s="3"/>
      <c r="AK1" s="3"/>
      <c r="AL1" s="3"/>
      <c r="AM1" s="3"/>
    </row>
    <row r="2">
      <c r="A2" s="4">
        <v>1.0</v>
      </c>
      <c r="B2" s="4" t="s">
        <v>32</v>
      </c>
      <c r="C2" s="4" t="s">
        <v>33</v>
      </c>
      <c r="D2" s="5">
        <v>82599.0</v>
      </c>
      <c r="E2" s="4" t="str">
        <f>+PARTIDO_CONSERVADOR_COLOMBIANO/CIFRA_REPARTIDORA</f>
        <v>3.744152524</v>
      </c>
      <c r="F2" s="4" t="str">
        <f>IF(PARTIDO_CONSERVADOR_COLOMBIANO&gt;=CIFCAL!UMBRAL,"PASA","NO PASA")</f>
        <v>PASA</v>
      </c>
      <c r="G2" s="6" t="str">
        <f>IF(PARTIDO_CONSERVADOR_COLOMBIANO&gt;=CIFCAL!UMBRAL,PARTIDO_CONSERVADOR_COLOMBIANO,0)</f>
        <v>  82,599 </v>
      </c>
      <c r="H2" s="4" t="str">
        <f t="shared" ref="H2:H13" si="1">+G2/1</f>
        <v>82599</v>
      </c>
      <c r="I2" s="4" t="str">
        <f t="shared" ref="I2:I13" si="2">+G2/2</f>
        <v>41299.5</v>
      </c>
      <c r="J2" s="4" t="str">
        <f t="shared" ref="J2:J13" si="3">+G2/3</f>
        <v>27533</v>
      </c>
      <c r="K2" s="4" t="str">
        <f t="shared" ref="K2:K13" si="4">+G2/4</f>
        <v>20649.75</v>
      </c>
      <c r="L2" s="4" t="str">
        <f t="shared" ref="L2:L13" si="5">+G2/5</f>
        <v>16519.8</v>
      </c>
      <c r="M2" s="4" t="str">
        <f t="shared" ref="M2:M13" si="6">+G2/6</f>
        <v>13766.5</v>
      </c>
      <c r="N2" s="4" t="str">
        <f t="shared" ref="N2:N13" si="7">+G2/7</f>
        <v>11799.85714</v>
      </c>
      <c r="O2" s="4" t="str">
        <f t="shared" ref="O2:O13" si="8">+G2/8</f>
        <v>10324.875</v>
      </c>
      <c r="P2" s="4" t="str">
        <f t="shared" ref="P2:P13" si="9">+G2/9</f>
        <v>9177.666667</v>
      </c>
      <c r="Q2" s="4" t="str">
        <f t="shared" ref="Q2:Q13" si="10">+G2/10</f>
        <v>8259.9</v>
      </c>
      <c r="R2" s="4" t="str">
        <f t="shared" ref="R2:R13" si="11">+G2/11</f>
        <v>7509</v>
      </c>
      <c r="S2" s="4" t="str">
        <f t="shared" ref="S2:S13" si="12">+G2/12</f>
        <v>6883.25</v>
      </c>
      <c r="T2" s="4" t="str">
        <f t="shared" ref="T2:T13" si="13">+G2/13</f>
        <v>6353.769231</v>
      </c>
      <c r="U2" s="4" t="str">
        <f t="shared" ref="U2:U13" si="14">+G2/14</f>
        <v>5899.928571</v>
      </c>
      <c r="V2" s="4" t="str">
        <f t="shared" ref="V2:V13" si="15">+G2/15</f>
        <v>5506.6</v>
      </c>
      <c r="W2" s="4" t="str">
        <f t="shared" ref="W2:W13" si="16">+G2/16</f>
        <v>5162.4375</v>
      </c>
      <c r="X2" s="4" t="str">
        <f t="shared" ref="X2:X13" si="17">+G2/17</f>
        <v>4858.764706</v>
      </c>
      <c r="Y2" s="4" t="str">
        <f t="shared" ref="Y2:Y13" si="18">+G2/18</f>
        <v>4588.833333</v>
      </c>
      <c r="Z2" s="4" t="str">
        <f t="shared" ref="Z2:Z13" si="19">+G2/19</f>
        <v>4347.315789</v>
      </c>
      <c r="AA2" s="4" t="str">
        <f t="shared" ref="AA2:AA13" si="20">+G2/20</f>
        <v>4129.95</v>
      </c>
      <c r="AB2" s="4" t="str">
        <f t="shared" ref="AB2:AB13" si="21">+G2/21</f>
        <v>3933.285714</v>
      </c>
      <c r="AC2" s="7" t="str">
        <f t="shared" ref="AC2:AC13" si="22">INT(E2)</f>
        <v>3</v>
      </c>
      <c r="AD2" s="6" t="str">
        <f>+PARTIDO_CONSERVADOR_COLOMBIANO-(AC2*CIFRA_REPARTIDORA)</f>
        <v>  16,417 </v>
      </c>
      <c r="AE2" s="8" t="str">
        <f>+PARTIDO_CONSERVADOR_COLOMBIANO-CIFCAL!UMBRAL</f>
        <v>67,609.02 </v>
      </c>
      <c r="AF2" s="9" t="str">
        <f>+PARTIDO_CONSERVADOR_COLOMBIANO/TOTAL_VOTOS_VÁLIDOS</f>
        <v>13.1%</v>
      </c>
      <c r="AG2" s="10"/>
      <c r="AH2" s="10"/>
      <c r="AI2" s="10"/>
      <c r="AJ2" s="10"/>
      <c r="AK2" s="10"/>
      <c r="AL2" s="10"/>
      <c r="AM2" s="10"/>
    </row>
    <row r="3">
      <c r="A3" s="4">
        <v>2.0</v>
      </c>
      <c r="B3" s="4" t="s">
        <v>34</v>
      </c>
      <c r="C3" s="4" t="s">
        <v>35</v>
      </c>
      <c r="D3" s="5">
        <v>110304.0</v>
      </c>
      <c r="E3" s="4" t="str">
        <f>+PARTIDO_SOCIAL_DE_UNIDAD_NACIONAL__PARTIDO_DE_LA_U/CIFRA_REPARTIDORA</f>
        <v>5</v>
      </c>
      <c r="F3" s="4" t="str">
        <f>IF(PARTIDO_SOCIAL_DE_UNIDAD_NACIONAL__PARTIDO_DE_LA_U&gt;=CIFCAL!UMBRAL,"PASA","NO PASA")</f>
        <v>PASA</v>
      </c>
      <c r="G3" s="6" t="str">
        <f>IF(PARTIDO_SOCIAL_DE_UNIDAD_NACIONAL__PARTIDO_DE_LA_U&gt;=CIFCAL!UMBRAL,PARTIDO_SOCIAL_DE_UNIDAD_NACIONAL__PARTIDO_DE_LA_U,0)</f>
        <v>  110,304 </v>
      </c>
      <c r="H3" s="4" t="str">
        <f t="shared" si="1"/>
        <v>110304</v>
      </c>
      <c r="I3" s="4" t="str">
        <f t="shared" si="2"/>
        <v>55152</v>
      </c>
      <c r="J3" s="4" t="str">
        <f t="shared" si="3"/>
        <v>36768</v>
      </c>
      <c r="K3" s="4" t="str">
        <f t="shared" si="4"/>
        <v>27576</v>
      </c>
      <c r="L3" s="4" t="str">
        <f t="shared" si="5"/>
        <v>22060.8</v>
      </c>
      <c r="M3" s="4" t="str">
        <f t="shared" si="6"/>
        <v>18384</v>
      </c>
      <c r="N3" s="4" t="str">
        <f t="shared" si="7"/>
        <v>15757.71429</v>
      </c>
      <c r="O3" s="4" t="str">
        <f t="shared" si="8"/>
        <v>13788</v>
      </c>
      <c r="P3" s="4" t="str">
        <f t="shared" si="9"/>
        <v>12256</v>
      </c>
      <c r="Q3" s="4" t="str">
        <f t="shared" si="10"/>
        <v>11030.4</v>
      </c>
      <c r="R3" s="4" t="str">
        <f t="shared" si="11"/>
        <v>10027.63636</v>
      </c>
      <c r="S3" s="4" t="str">
        <f t="shared" si="12"/>
        <v>9192</v>
      </c>
      <c r="T3" s="4" t="str">
        <f t="shared" si="13"/>
        <v>8484.923077</v>
      </c>
      <c r="U3" s="4" t="str">
        <f t="shared" si="14"/>
        <v>7878.857143</v>
      </c>
      <c r="V3" s="4" t="str">
        <f t="shared" si="15"/>
        <v>7353.6</v>
      </c>
      <c r="W3" s="4" t="str">
        <f t="shared" si="16"/>
        <v>6894</v>
      </c>
      <c r="X3" s="4" t="str">
        <f t="shared" si="17"/>
        <v>6488.470588</v>
      </c>
      <c r="Y3" s="4" t="str">
        <f t="shared" si="18"/>
        <v>6128</v>
      </c>
      <c r="Z3" s="4" t="str">
        <f t="shared" si="19"/>
        <v>5805.473684</v>
      </c>
      <c r="AA3" s="4" t="str">
        <f t="shared" si="20"/>
        <v>5515.2</v>
      </c>
      <c r="AB3" s="4" t="str">
        <f t="shared" si="21"/>
        <v>5252.571429</v>
      </c>
      <c r="AC3" s="7" t="str">
        <f t="shared" si="22"/>
        <v>5</v>
      </c>
      <c r="AD3" s="6" t="str">
        <f>+PARTIDO_SOCIAL_DE_UNIDAD_NACIONAL__PARTIDO_DE_LA_U-(AC3*CIFRA_REPARTIDORA)</f>
        <v>  -   </v>
      </c>
      <c r="AE3" s="8" t="str">
        <f>+PARTIDO_SOCIAL_DE_UNIDAD_NACIONAL__PARTIDO_DE_LA_U/CIFCAL!UMBRAL</f>
        <v>7.36 </v>
      </c>
      <c r="AF3" s="9" t="str">
        <f>+PARTIDO_SOCIAL_DE_UNIDAD_NACIONAL__PARTIDO_DE_LA_U/TOTAL_VOTOS_VÁLIDOS</f>
        <v>17.5%</v>
      </c>
      <c r="AG3" s="10"/>
      <c r="AH3" s="10"/>
      <c r="AI3" s="10"/>
      <c r="AJ3" s="10"/>
      <c r="AK3" s="10"/>
      <c r="AL3" s="10"/>
      <c r="AM3" s="10"/>
    </row>
    <row r="4">
      <c r="A4" s="4">
        <v>3.0</v>
      </c>
      <c r="B4" s="4" t="s">
        <v>36</v>
      </c>
      <c r="C4" s="4" t="s">
        <v>37</v>
      </c>
      <c r="D4" s="5">
        <v>24227.0</v>
      </c>
      <c r="E4" s="4" t="str">
        <f>+MOVIMIENTO_MIRA/CIFRA_REPARTIDORA</f>
        <v>1.098192269</v>
      </c>
      <c r="F4" s="4" t="str">
        <f>IF(MOVIMIENTO_MIRA&gt;=CIFCAL!UMBRAL,"PASA","NO PASA")</f>
        <v>PASA</v>
      </c>
      <c r="G4" s="6" t="str">
        <f>IF(MOVIMIENTO_MIRA&gt;=CIFCAL!UMBRAL,MOVIMIENTO_MIRA,0)</f>
        <v>  24,227 </v>
      </c>
      <c r="H4" s="4" t="str">
        <f t="shared" si="1"/>
        <v>24227</v>
      </c>
      <c r="I4" s="4" t="str">
        <f t="shared" si="2"/>
        <v>12113.5</v>
      </c>
      <c r="J4" s="4" t="str">
        <f t="shared" si="3"/>
        <v>8075.666667</v>
      </c>
      <c r="K4" s="4" t="str">
        <f t="shared" si="4"/>
        <v>6056.75</v>
      </c>
      <c r="L4" s="4" t="str">
        <f t="shared" si="5"/>
        <v>4845.4</v>
      </c>
      <c r="M4" s="4" t="str">
        <f t="shared" si="6"/>
        <v>4037.833333</v>
      </c>
      <c r="N4" s="4" t="str">
        <f t="shared" si="7"/>
        <v>3461</v>
      </c>
      <c r="O4" s="4" t="str">
        <f t="shared" si="8"/>
        <v>3028.375</v>
      </c>
      <c r="P4" s="4" t="str">
        <f t="shared" si="9"/>
        <v>2691.888889</v>
      </c>
      <c r="Q4" s="4" t="str">
        <f t="shared" si="10"/>
        <v>2422.7</v>
      </c>
      <c r="R4" s="4" t="str">
        <f t="shared" si="11"/>
        <v>2202.454545</v>
      </c>
      <c r="S4" s="4" t="str">
        <f t="shared" si="12"/>
        <v>2018.916667</v>
      </c>
      <c r="T4" s="4" t="str">
        <f t="shared" si="13"/>
        <v>1863.615385</v>
      </c>
      <c r="U4" s="4" t="str">
        <f t="shared" si="14"/>
        <v>1730.5</v>
      </c>
      <c r="V4" s="4" t="str">
        <f t="shared" si="15"/>
        <v>1615.133333</v>
      </c>
      <c r="W4" s="4" t="str">
        <f t="shared" si="16"/>
        <v>1514.1875</v>
      </c>
      <c r="X4" s="4" t="str">
        <f t="shared" si="17"/>
        <v>1425.117647</v>
      </c>
      <c r="Y4" s="4" t="str">
        <f t="shared" si="18"/>
        <v>1345.944444</v>
      </c>
      <c r="Z4" s="4" t="str">
        <f t="shared" si="19"/>
        <v>1275.105263</v>
      </c>
      <c r="AA4" s="4" t="str">
        <f t="shared" si="20"/>
        <v>1211.35</v>
      </c>
      <c r="AB4" s="4" t="str">
        <f t="shared" si="21"/>
        <v>1153.666667</v>
      </c>
      <c r="AC4" s="7" t="str">
        <f t="shared" si="22"/>
        <v>1</v>
      </c>
      <c r="AD4" s="6" t="str">
        <f>+MOVIMIENTO_MIRA-(AC4*CIFRA_REPARTIDORA)</f>
        <v>  2,166 </v>
      </c>
      <c r="AE4" s="8" t="str">
        <f>+MOVIMIENTO_MIRA-CIFCAL!UMBRAL</f>
        <v>9,237.02 </v>
      </c>
      <c r="AF4" s="9" t="str">
        <f>+MOVIMIENTO_MIRA/TOTAL_VOTOS_VÁLIDOS</f>
        <v>3.8%</v>
      </c>
      <c r="AG4" s="10"/>
      <c r="AH4" s="10"/>
      <c r="AI4" s="10"/>
      <c r="AJ4" s="10"/>
      <c r="AK4" s="10"/>
      <c r="AL4" s="10"/>
      <c r="AM4" s="10"/>
    </row>
    <row r="5">
      <c r="A5" s="4">
        <v>4.0</v>
      </c>
      <c r="B5" s="4" t="s">
        <v>38</v>
      </c>
      <c r="C5" s="4" t="s">
        <v>39</v>
      </c>
      <c r="D5" s="5">
        <v>111760.0</v>
      </c>
      <c r="E5" s="4" t="str">
        <f>+PARTIDO_LIBERAL_COLOMBIANO/CIFRA_REPARTIDORA</f>
        <v>5.06599942</v>
      </c>
      <c r="F5" s="4" t="str">
        <f>IF(PARTIDO_LIBERAL_COLOMBIANO&gt;=CIFCAL!UMBRAL,"PASA","NO PASA")</f>
        <v>PASA</v>
      </c>
      <c r="G5" s="6" t="str">
        <f>IF(PARTIDO_LIBERAL_COLOMBIANO&gt;=CIFCAL!UMBRAL,PARTIDO_LIBERAL_COLOMBIANO,0)</f>
        <v>  111,760 </v>
      </c>
      <c r="H5" s="4" t="str">
        <f t="shared" si="1"/>
        <v>111760</v>
      </c>
      <c r="I5" s="4" t="str">
        <f t="shared" si="2"/>
        <v>55880</v>
      </c>
      <c r="J5" s="4" t="str">
        <f t="shared" si="3"/>
        <v>37253.33333</v>
      </c>
      <c r="K5" s="4" t="str">
        <f t="shared" si="4"/>
        <v>27940</v>
      </c>
      <c r="L5" s="4" t="str">
        <f t="shared" si="5"/>
        <v>22352</v>
      </c>
      <c r="M5" s="4" t="str">
        <f t="shared" si="6"/>
        <v>18626.66667</v>
      </c>
      <c r="N5" s="4" t="str">
        <f t="shared" si="7"/>
        <v>15965.71429</v>
      </c>
      <c r="O5" s="4" t="str">
        <f t="shared" si="8"/>
        <v>13970</v>
      </c>
      <c r="P5" s="4" t="str">
        <f t="shared" si="9"/>
        <v>12417.77778</v>
      </c>
      <c r="Q5" s="4" t="str">
        <f t="shared" si="10"/>
        <v>11176</v>
      </c>
      <c r="R5" s="4" t="str">
        <f t="shared" si="11"/>
        <v>10160</v>
      </c>
      <c r="S5" s="4" t="str">
        <f t="shared" si="12"/>
        <v>9313.333333</v>
      </c>
      <c r="T5" s="4" t="str">
        <f t="shared" si="13"/>
        <v>8596.923077</v>
      </c>
      <c r="U5" s="4" t="str">
        <f t="shared" si="14"/>
        <v>7982.857143</v>
      </c>
      <c r="V5" s="4" t="str">
        <f t="shared" si="15"/>
        <v>7450.666667</v>
      </c>
      <c r="W5" s="4" t="str">
        <f t="shared" si="16"/>
        <v>6985</v>
      </c>
      <c r="X5" s="4" t="str">
        <f t="shared" si="17"/>
        <v>6574.117647</v>
      </c>
      <c r="Y5" s="4" t="str">
        <f t="shared" si="18"/>
        <v>6208.888889</v>
      </c>
      <c r="Z5" s="4" t="str">
        <f t="shared" si="19"/>
        <v>5882.105263</v>
      </c>
      <c r="AA5" s="4" t="str">
        <f t="shared" si="20"/>
        <v>5588</v>
      </c>
      <c r="AB5" s="4" t="str">
        <f t="shared" si="21"/>
        <v>5321.904762</v>
      </c>
      <c r="AC5" s="7" t="str">
        <f t="shared" si="22"/>
        <v>5</v>
      </c>
      <c r="AD5" s="6" t="str">
        <f>+PARTIDO_LIBERAL_COLOMBIANO-(AC5*CIFRA_REPARTIDORA)</f>
        <v>  1,456 </v>
      </c>
      <c r="AE5" s="8" t="str">
        <f>+PARTIDO_LIBERAL_COLOMBIANO-CIFCAL!UMBRAL</f>
        <v>96,770.02 </v>
      </c>
      <c r="AF5" s="9" t="str">
        <f>+PARTIDO_LIBERAL_COLOMBIANO/TOTAL_VOTOS_VÁLIDOS</f>
        <v>17.8%</v>
      </c>
      <c r="AG5" s="10"/>
      <c r="AH5" s="10"/>
      <c r="AI5" s="10"/>
      <c r="AJ5" s="10"/>
      <c r="AK5" s="10"/>
      <c r="AL5" s="10"/>
      <c r="AM5" s="10"/>
    </row>
    <row r="6">
      <c r="A6" s="4">
        <v>5.0</v>
      </c>
      <c r="B6" s="4" t="s">
        <v>40</v>
      </c>
      <c r="C6" s="4" t="s">
        <v>41</v>
      </c>
      <c r="D6" s="5">
        <v>2277.0</v>
      </c>
      <c r="E6" s="4" t="str">
        <f>+PARTIDO_UNION_PATRIOTICA_UP/CIFRA_REPARTIDORA</f>
        <v>0.103214752</v>
      </c>
      <c r="F6" s="4" t="str">
        <f>IF(PARTIDO_UNION_PATRIOTICA_UP&gt;=CIFCAL!UMBRAL,"PASA","NO PASA")</f>
        <v>NO PASA</v>
      </c>
      <c r="G6" s="4" t="str">
        <f>IF(PARTIDO_UNION_PATRIOTICA_UP&gt;=CIFCAL!UMBRAL,PARTIDO_UNION_PATRIOTICA_UP,0)</f>
        <v>0</v>
      </c>
      <c r="H6" s="4" t="str">
        <f t="shared" si="1"/>
        <v>0</v>
      </c>
      <c r="I6" s="4" t="str">
        <f t="shared" si="2"/>
        <v>0</v>
      </c>
      <c r="J6" s="4" t="str">
        <f t="shared" si="3"/>
        <v>0</v>
      </c>
      <c r="K6" s="4" t="str">
        <f t="shared" si="4"/>
        <v>0</v>
      </c>
      <c r="L6" s="4" t="str">
        <f t="shared" si="5"/>
        <v>0</v>
      </c>
      <c r="M6" s="4" t="str">
        <f t="shared" si="6"/>
        <v>0</v>
      </c>
      <c r="N6" s="4" t="str">
        <f t="shared" si="7"/>
        <v>0</v>
      </c>
      <c r="O6" s="4" t="str">
        <f t="shared" si="8"/>
        <v>0</v>
      </c>
      <c r="P6" s="4" t="str">
        <f t="shared" si="9"/>
        <v>0</v>
      </c>
      <c r="Q6" s="4" t="str">
        <f t="shared" si="10"/>
        <v>0</v>
      </c>
      <c r="R6" s="4" t="str">
        <f t="shared" si="11"/>
        <v>0</v>
      </c>
      <c r="S6" s="4" t="str">
        <f t="shared" si="12"/>
        <v>0</v>
      </c>
      <c r="T6" s="4" t="str">
        <f t="shared" si="13"/>
        <v>0</v>
      </c>
      <c r="U6" s="4" t="str">
        <f t="shared" si="14"/>
        <v>0</v>
      </c>
      <c r="V6" s="4" t="str">
        <f t="shared" si="15"/>
        <v>0</v>
      </c>
      <c r="W6" s="4" t="str">
        <f t="shared" si="16"/>
        <v>0</v>
      </c>
      <c r="X6" s="4" t="str">
        <f t="shared" si="17"/>
        <v>0</v>
      </c>
      <c r="Y6" s="4" t="str">
        <f t="shared" si="18"/>
        <v>0</v>
      </c>
      <c r="Z6" s="4" t="str">
        <f t="shared" si="19"/>
        <v>0</v>
      </c>
      <c r="AA6" s="4" t="str">
        <f t="shared" si="20"/>
        <v>0</v>
      </c>
      <c r="AB6" s="4" t="str">
        <f t="shared" si="21"/>
        <v>0</v>
      </c>
      <c r="AC6" s="7" t="str">
        <f t="shared" si="22"/>
        <v>0</v>
      </c>
      <c r="AD6" s="6" t="str">
        <f>+PARTIDO_UNION_PATRIOTICA_UP-(AC6*CIFRA_REPARTIDORA)</f>
        <v>  2,277 </v>
      </c>
      <c r="AE6" s="8" t="str">
        <f>+PARTIDO_UNION_PATRIOTICA_UP-CIFCAL!UMBRAL</f>
        <v>-12,712.98 </v>
      </c>
      <c r="AF6" s="9" t="str">
        <f>+PARTIDO_UNION_PATRIOTICA_UP/TOTAL_VOTOS_VÁLIDOS</f>
        <v>0.4%</v>
      </c>
      <c r="AG6" s="10"/>
      <c r="AH6" s="10"/>
      <c r="AI6" s="10"/>
      <c r="AJ6" s="10"/>
      <c r="AK6" s="10"/>
      <c r="AL6" s="10"/>
      <c r="AM6" s="10"/>
    </row>
    <row r="7">
      <c r="A7" s="4">
        <v>6.0</v>
      </c>
      <c r="B7" s="4" t="s">
        <v>42</v>
      </c>
      <c r="C7" s="4" t="s">
        <v>43</v>
      </c>
      <c r="D7" s="5">
        <v>93790.0</v>
      </c>
      <c r="E7" s="4" t="str">
        <f>+PARTIDO_CAMBIO_RADICAL/CIFRA_REPARTIDORA</f>
        <v>4.251432405</v>
      </c>
      <c r="F7" s="4" t="str">
        <f>IF(PARTIDO_CAMBIO_RADICAL&gt;=CIFCAL!UMBRAL,"PASA","NO PASA")</f>
        <v>PASA</v>
      </c>
      <c r="G7" s="6" t="str">
        <f>IF(PARTIDO_CAMBIO_RADICAL&gt;=CIFCAL!UMBRAL,PARTIDO_CAMBIO_RADICAL,0)</f>
        <v>  93,790 </v>
      </c>
      <c r="H7" s="4" t="str">
        <f t="shared" si="1"/>
        <v>93790</v>
      </c>
      <c r="I7" s="4" t="str">
        <f t="shared" si="2"/>
        <v>46895</v>
      </c>
      <c r="J7" s="4" t="str">
        <f t="shared" si="3"/>
        <v>31263.33333</v>
      </c>
      <c r="K7" s="4" t="str">
        <f t="shared" si="4"/>
        <v>23447.5</v>
      </c>
      <c r="L7" s="4" t="str">
        <f t="shared" si="5"/>
        <v>18758</v>
      </c>
      <c r="M7" s="4" t="str">
        <f t="shared" si="6"/>
        <v>15631.66667</v>
      </c>
      <c r="N7" s="4" t="str">
        <f t="shared" si="7"/>
        <v>13398.57143</v>
      </c>
      <c r="O7" s="4" t="str">
        <f t="shared" si="8"/>
        <v>11723.75</v>
      </c>
      <c r="P7" s="4" t="str">
        <f t="shared" si="9"/>
        <v>10421.11111</v>
      </c>
      <c r="Q7" s="4" t="str">
        <f t="shared" si="10"/>
        <v>9379</v>
      </c>
      <c r="R7" s="4" t="str">
        <f t="shared" si="11"/>
        <v>8526.363636</v>
      </c>
      <c r="S7" s="4" t="str">
        <f t="shared" si="12"/>
        <v>7815.833333</v>
      </c>
      <c r="T7" s="4" t="str">
        <f t="shared" si="13"/>
        <v>7214.615385</v>
      </c>
      <c r="U7" s="4" t="str">
        <f t="shared" si="14"/>
        <v>6699.285714</v>
      </c>
      <c r="V7" s="4" t="str">
        <f t="shared" si="15"/>
        <v>6252.666667</v>
      </c>
      <c r="W7" s="4" t="str">
        <f t="shared" si="16"/>
        <v>5861.875</v>
      </c>
      <c r="X7" s="4" t="str">
        <f t="shared" si="17"/>
        <v>5517.058824</v>
      </c>
      <c r="Y7" s="4" t="str">
        <f t="shared" si="18"/>
        <v>5210.555556</v>
      </c>
      <c r="Z7" s="4" t="str">
        <f t="shared" si="19"/>
        <v>4936.315789</v>
      </c>
      <c r="AA7" s="4" t="str">
        <f t="shared" si="20"/>
        <v>4689.5</v>
      </c>
      <c r="AB7" s="4" t="str">
        <f t="shared" si="21"/>
        <v>4466.190476</v>
      </c>
      <c r="AC7" s="7" t="str">
        <f t="shared" si="22"/>
        <v>4</v>
      </c>
      <c r="AD7" s="6" t="str">
        <f>+PARTIDO_CAMBIO_RADICAL-(AC7*CIFRA_REPARTIDORA)</f>
        <v>  5,547 </v>
      </c>
      <c r="AE7" s="8" t="str">
        <f>+PARTIDO_CAMBIO_RADICAL-CIFCAL!UMBRAL</f>
        <v>78,800.02 </v>
      </c>
      <c r="AF7" s="9" t="str">
        <f>+PARTIDO_CAMBIO_RADICAL/TOTAL_VOTOS_VÁLIDOS</f>
        <v>14.9%</v>
      </c>
      <c r="AG7" s="10"/>
      <c r="AH7" s="10"/>
      <c r="AI7" s="10"/>
      <c r="AJ7" s="10"/>
      <c r="AK7" s="10"/>
      <c r="AL7" s="10"/>
      <c r="AM7" s="10"/>
    </row>
    <row r="8">
      <c r="A8" s="4">
        <v>7.0</v>
      </c>
      <c r="B8" s="4" t="s">
        <v>44</v>
      </c>
      <c r="C8" s="4" t="s">
        <v>45</v>
      </c>
      <c r="D8" s="5">
        <v>33823.0</v>
      </c>
      <c r="E8" s="4" t="str">
        <f>+PARTIDO_CENTRO_DEMOCRATICO/CIFRA_REPARTIDORA</f>
        <v>1.533171961</v>
      </c>
      <c r="F8" s="4" t="str">
        <f>IF(PARTIDO_CENTRO_DEMOCRATICO&gt;=CIFCAL!UMBRAL,"PASA","NO PASA")</f>
        <v>PASA</v>
      </c>
      <c r="G8" s="6" t="str">
        <f>IF(PARTIDO_CENTRO_DEMOCRATICO&gt;=CIFCAL!UMBRAL,PARTIDO_CENTRO_DEMOCRATICO,0)</f>
        <v>  33,823 </v>
      </c>
      <c r="H8" s="4" t="str">
        <f t="shared" si="1"/>
        <v>33823</v>
      </c>
      <c r="I8" s="4" t="str">
        <f t="shared" si="2"/>
        <v>16911.5</v>
      </c>
      <c r="J8" s="4" t="str">
        <f t="shared" si="3"/>
        <v>11274.33333</v>
      </c>
      <c r="K8" s="4" t="str">
        <f t="shared" si="4"/>
        <v>8455.75</v>
      </c>
      <c r="L8" s="4" t="str">
        <f t="shared" si="5"/>
        <v>6764.6</v>
      </c>
      <c r="M8" s="4" t="str">
        <f t="shared" si="6"/>
        <v>5637.166667</v>
      </c>
      <c r="N8" s="4" t="str">
        <f t="shared" si="7"/>
        <v>4831.857143</v>
      </c>
      <c r="O8" s="4" t="str">
        <f t="shared" si="8"/>
        <v>4227.875</v>
      </c>
      <c r="P8" s="4" t="str">
        <f t="shared" si="9"/>
        <v>3758.111111</v>
      </c>
      <c r="Q8" s="4" t="str">
        <f t="shared" si="10"/>
        <v>3382.3</v>
      </c>
      <c r="R8" s="4" t="str">
        <f t="shared" si="11"/>
        <v>3074.818182</v>
      </c>
      <c r="S8" s="4" t="str">
        <f t="shared" si="12"/>
        <v>2818.583333</v>
      </c>
      <c r="T8" s="4" t="str">
        <f t="shared" si="13"/>
        <v>2601.769231</v>
      </c>
      <c r="U8" s="4" t="str">
        <f t="shared" si="14"/>
        <v>2415.928571</v>
      </c>
      <c r="V8" s="4" t="str">
        <f t="shared" si="15"/>
        <v>2254.866667</v>
      </c>
      <c r="W8" s="4" t="str">
        <f t="shared" si="16"/>
        <v>2113.9375</v>
      </c>
      <c r="X8" s="4" t="str">
        <f t="shared" si="17"/>
        <v>1989.588235</v>
      </c>
      <c r="Y8" s="4" t="str">
        <f t="shared" si="18"/>
        <v>1879.055556</v>
      </c>
      <c r="Z8" s="4" t="str">
        <f t="shared" si="19"/>
        <v>1780.157895</v>
      </c>
      <c r="AA8" s="4" t="str">
        <f t="shared" si="20"/>
        <v>1691.15</v>
      </c>
      <c r="AB8" s="4" t="str">
        <f t="shared" si="21"/>
        <v>1610.619048</v>
      </c>
      <c r="AC8" s="7" t="str">
        <f t="shared" si="22"/>
        <v>1</v>
      </c>
      <c r="AD8" s="6" t="str">
        <f>+PARTIDO_CENTRO_DEMOCRATICO-(AC8*CIFRA_REPARTIDORA)</f>
        <v>  11,762 </v>
      </c>
      <c r="AE8" s="8" t="str">
        <f>+PARTIDO_CENTRO_DEMOCRATICO-CIFCAL!UMBRAL</f>
        <v>18,833.02 </v>
      </c>
      <c r="AF8" s="9" t="str">
        <f>+PARTIDO_CENTRO_DEMOCRATICO/TOTAL_VOTOS_VÁLIDOS</f>
        <v>5.4%</v>
      </c>
      <c r="AG8" s="10"/>
      <c r="AH8" s="10"/>
      <c r="AI8" s="10"/>
      <c r="AJ8" s="10"/>
      <c r="AK8" s="10"/>
      <c r="AL8" s="10"/>
      <c r="AM8" s="10"/>
    </row>
    <row r="9">
      <c r="A9" s="4">
        <v>8.0</v>
      </c>
      <c r="B9" s="4" t="s">
        <v>46</v>
      </c>
      <c r="C9" s="4" t="s">
        <v>47</v>
      </c>
      <c r="D9" s="5">
        <v>10110.0</v>
      </c>
      <c r="E9" s="4" t="str">
        <f>+PARTIDO_ALIANZA_SOCIAL_INDEPENDIENTE_ASI/CIFRA_REPARTIDORA</f>
        <v>0.4582789382</v>
      </c>
      <c r="F9" s="4" t="str">
        <f>IF(PARTIDO_ALIANZA_SOCIAL_INDEPENDIENTE_ASI&gt;=CIFRA_REPARTIDORA,"PASA","NO PASA")</f>
        <v>NO PASA</v>
      </c>
      <c r="G9" s="4" t="str">
        <f>IF(PARTIDO_ALIANZA_SOCIAL_INDEPENDIENTE_ASI&gt;=CIFCAL!UMBRAL,PARTIDO_ALIANZA_SOCIAL_INDEPENDIENTE_ASI,0)</f>
        <v>0</v>
      </c>
      <c r="H9" s="4" t="str">
        <f t="shared" si="1"/>
        <v>0</v>
      </c>
      <c r="I9" s="4" t="str">
        <f t="shared" si="2"/>
        <v>0</v>
      </c>
      <c r="J9" s="4" t="str">
        <f t="shared" si="3"/>
        <v>0</v>
      </c>
      <c r="K9" s="4" t="str">
        <f t="shared" si="4"/>
        <v>0</v>
      </c>
      <c r="L9" s="4" t="str">
        <f t="shared" si="5"/>
        <v>0</v>
      </c>
      <c r="M9" s="4" t="str">
        <f t="shared" si="6"/>
        <v>0</v>
      </c>
      <c r="N9" s="4" t="str">
        <f t="shared" si="7"/>
        <v>0</v>
      </c>
      <c r="O9" s="4" t="str">
        <f t="shared" si="8"/>
        <v>0</v>
      </c>
      <c r="P9" s="4" t="str">
        <f t="shared" si="9"/>
        <v>0</v>
      </c>
      <c r="Q9" s="4" t="str">
        <f t="shared" si="10"/>
        <v>0</v>
      </c>
      <c r="R9" s="4" t="str">
        <f t="shared" si="11"/>
        <v>0</v>
      </c>
      <c r="S9" s="4" t="str">
        <f t="shared" si="12"/>
        <v>0</v>
      </c>
      <c r="T9" s="4" t="str">
        <f t="shared" si="13"/>
        <v>0</v>
      </c>
      <c r="U9" s="4" t="str">
        <f t="shared" si="14"/>
        <v>0</v>
      </c>
      <c r="V9" s="4" t="str">
        <f t="shared" si="15"/>
        <v>0</v>
      </c>
      <c r="W9" s="4" t="str">
        <f t="shared" si="16"/>
        <v>0</v>
      </c>
      <c r="X9" s="4" t="str">
        <f t="shared" si="17"/>
        <v>0</v>
      </c>
      <c r="Y9" s="4" t="str">
        <f t="shared" si="18"/>
        <v>0</v>
      </c>
      <c r="Z9" s="4" t="str">
        <f t="shared" si="19"/>
        <v>0</v>
      </c>
      <c r="AA9" s="4" t="str">
        <f t="shared" si="20"/>
        <v>0</v>
      </c>
      <c r="AB9" s="4" t="str">
        <f t="shared" si="21"/>
        <v>0</v>
      </c>
      <c r="AC9" s="7" t="str">
        <f t="shared" si="22"/>
        <v>0</v>
      </c>
      <c r="AD9" s="6" t="str">
        <f>+PARTIDO_ALIANZA_SOCIAL_INDEPENDIENTE_ASI-(AC9*CIFRA_REPARTIDORA)</f>
        <v>  10,110 </v>
      </c>
      <c r="AE9" s="8" t="str">
        <f>+PARTIDO_ALIANZA_SOCIAL_INDEPENDIENTE_ASI-CIFCAL!UMBRAL</f>
        <v>-4,879.98 </v>
      </c>
      <c r="AF9" s="9" t="str">
        <f>+PARTIDO_ALIANZA_SOCIAL_INDEPENDIENTE_ASI/TOTAL_VOTOS_VÁLIDOS</f>
        <v>1.6%</v>
      </c>
      <c r="AG9" s="10"/>
      <c r="AH9" s="10"/>
      <c r="AI9" s="10"/>
      <c r="AJ9" s="10"/>
      <c r="AK9" s="10"/>
      <c r="AL9" s="10"/>
      <c r="AM9" s="10"/>
    </row>
    <row r="10">
      <c r="A10" s="4">
        <v>9.0</v>
      </c>
      <c r="B10" s="4" t="s">
        <v>48</v>
      </c>
      <c r="C10" s="4" t="s">
        <v>49</v>
      </c>
      <c r="D10" s="5">
        <v>43504.0</v>
      </c>
      <c r="E10" s="4" t="str">
        <f>+PARTIDO_ALIANZA_VERDE/CIFRA_REPARTIDORA</f>
        <v>1.972004642</v>
      </c>
      <c r="F10" s="4" t="str">
        <f>IF(PARTIDO_ALIANZA_VERDE&gt;=CIFCAL!UMBRAL,"PASA","NO PASA")</f>
        <v>PASA</v>
      </c>
      <c r="G10" s="6" t="str">
        <f>IF(PARTIDO_ALIANZA_VERDE&gt;=CIFCAL!UMBRAL,PARTIDO_ALIANZA_VERDE,0)</f>
        <v>  43,504 </v>
      </c>
      <c r="H10" s="4" t="str">
        <f t="shared" si="1"/>
        <v>43504</v>
      </c>
      <c r="I10" s="4" t="str">
        <f t="shared" si="2"/>
        <v>21752</v>
      </c>
      <c r="J10" s="4" t="str">
        <f t="shared" si="3"/>
        <v>14501.33333</v>
      </c>
      <c r="K10" s="4" t="str">
        <f t="shared" si="4"/>
        <v>10876</v>
      </c>
      <c r="L10" s="4" t="str">
        <f t="shared" si="5"/>
        <v>8700.8</v>
      </c>
      <c r="M10" s="4" t="str">
        <f t="shared" si="6"/>
        <v>7250.666667</v>
      </c>
      <c r="N10" s="4" t="str">
        <f t="shared" si="7"/>
        <v>6214.857143</v>
      </c>
      <c r="O10" s="4" t="str">
        <f t="shared" si="8"/>
        <v>5438</v>
      </c>
      <c r="P10" s="4" t="str">
        <f t="shared" si="9"/>
        <v>4833.777778</v>
      </c>
      <c r="Q10" s="4" t="str">
        <f t="shared" si="10"/>
        <v>4350.4</v>
      </c>
      <c r="R10" s="4" t="str">
        <f t="shared" si="11"/>
        <v>3954.909091</v>
      </c>
      <c r="S10" s="4" t="str">
        <f t="shared" si="12"/>
        <v>3625.333333</v>
      </c>
      <c r="T10" s="4" t="str">
        <f t="shared" si="13"/>
        <v>3346.461538</v>
      </c>
      <c r="U10" s="4" t="str">
        <f t="shared" si="14"/>
        <v>3107.428571</v>
      </c>
      <c r="V10" s="4" t="str">
        <f t="shared" si="15"/>
        <v>2900.266667</v>
      </c>
      <c r="W10" s="4" t="str">
        <f t="shared" si="16"/>
        <v>2719</v>
      </c>
      <c r="X10" s="4" t="str">
        <f t="shared" si="17"/>
        <v>2559.058824</v>
      </c>
      <c r="Y10" s="4" t="str">
        <f t="shared" si="18"/>
        <v>2416.888889</v>
      </c>
      <c r="Z10" s="4" t="str">
        <f t="shared" si="19"/>
        <v>2289.684211</v>
      </c>
      <c r="AA10" s="4" t="str">
        <f t="shared" si="20"/>
        <v>2175.2</v>
      </c>
      <c r="AB10" s="4" t="str">
        <f t="shared" si="21"/>
        <v>2071.619048</v>
      </c>
      <c r="AC10" s="7" t="str">
        <f t="shared" si="22"/>
        <v>1</v>
      </c>
      <c r="AD10" s="6" t="str">
        <f>+PARTIDO_ALIANZA_VERDE-(AC10*CIFRA_REPARTIDORA)</f>
        <v>  21,443 </v>
      </c>
      <c r="AE10" s="8" t="str">
        <f>+PARTIDO_ALIANZA_VERDE-CIFCAL!UMBRAL</f>
        <v>28,514.02 </v>
      </c>
      <c r="AF10" s="9" t="str">
        <f>+PARTIDO_ALIANZA_VERDE/TOTAL_VOTOS_VÁLIDOS</f>
        <v>6.9%</v>
      </c>
      <c r="AG10" s="10"/>
      <c r="AH10" s="10"/>
      <c r="AI10" s="10"/>
      <c r="AJ10" s="10"/>
      <c r="AK10" s="10"/>
      <c r="AL10" s="10"/>
      <c r="AM10" s="10"/>
    </row>
    <row r="11">
      <c r="A11" s="4">
        <v>10.0</v>
      </c>
      <c r="B11" s="4" t="s">
        <v>50</v>
      </c>
      <c r="C11" s="4" t="s">
        <v>51</v>
      </c>
      <c r="D11" s="5">
        <v>22110.0</v>
      </c>
      <c r="E11" s="4" t="str">
        <f>+PARTIDO_POLO_DEMOCRATICO_ALTERNATIVO/CIFRA_REPARTIDORA</f>
        <v>1.0022302</v>
      </c>
      <c r="F11" s="4" t="str">
        <f>IF(PARTIDO_POLO_DEMOCRATICO_ALTERNATIVO&gt;=CIFCAL!UMBRAL,"PASA","NO PASA")</f>
        <v>PASA</v>
      </c>
      <c r="G11" s="6" t="str">
        <f>IF(PARTIDO_POLO_DEMOCRATICO_ALTERNATIVO&gt;=CIFCAL!UMBRAL,PARTIDO_POLO_DEMOCRATICO_ALTERNATIVO,0)</f>
        <v>  22,110 </v>
      </c>
      <c r="H11" s="4" t="str">
        <f t="shared" si="1"/>
        <v>22110</v>
      </c>
      <c r="I11" s="4" t="str">
        <f t="shared" si="2"/>
        <v>11055</v>
      </c>
      <c r="J11" s="4" t="str">
        <f t="shared" si="3"/>
        <v>7370</v>
      </c>
      <c r="K11" s="4" t="str">
        <f t="shared" si="4"/>
        <v>5527.5</v>
      </c>
      <c r="L11" s="4" t="str">
        <f t="shared" si="5"/>
        <v>4422</v>
      </c>
      <c r="M11" s="4" t="str">
        <f t="shared" si="6"/>
        <v>3685</v>
      </c>
      <c r="N11" s="4" t="str">
        <f t="shared" si="7"/>
        <v>3158.571429</v>
      </c>
      <c r="O11" s="4" t="str">
        <f t="shared" si="8"/>
        <v>2763.75</v>
      </c>
      <c r="P11" s="4" t="str">
        <f t="shared" si="9"/>
        <v>2456.666667</v>
      </c>
      <c r="Q11" s="4" t="str">
        <f t="shared" si="10"/>
        <v>2211</v>
      </c>
      <c r="R11" s="4" t="str">
        <f t="shared" si="11"/>
        <v>2010</v>
      </c>
      <c r="S11" s="4" t="str">
        <f t="shared" si="12"/>
        <v>1842.5</v>
      </c>
      <c r="T11" s="4" t="str">
        <f t="shared" si="13"/>
        <v>1700.769231</v>
      </c>
      <c r="U11" s="4" t="str">
        <f t="shared" si="14"/>
        <v>1579.285714</v>
      </c>
      <c r="V11" s="4" t="str">
        <f t="shared" si="15"/>
        <v>1474</v>
      </c>
      <c r="W11" s="4" t="str">
        <f t="shared" si="16"/>
        <v>1381.875</v>
      </c>
      <c r="X11" s="4" t="str">
        <f t="shared" si="17"/>
        <v>1300.588235</v>
      </c>
      <c r="Y11" s="4" t="str">
        <f t="shared" si="18"/>
        <v>1228.333333</v>
      </c>
      <c r="Z11" s="4" t="str">
        <f t="shared" si="19"/>
        <v>1163.684211</v>
      </c>
      <c r="AA11" s="4" t="str">
        <f t="shared" si="20"/>
        <v>1105.5</v>
      </c>
      <c r="AB11" s="4" t="str">
        <f t="shared" si="21"/>
        <v>1052.857143</v>
      </c>
      <c r="AC11" s="7" t="str">
        <f t="shared" si="22"/>
        <v>1</v>
      </c>
      <c r="AD11" s="6" t="str">
        <f>+PARTIDO_POLO_DEMOCRATICO_ALTERNATIVO-(AC11*CIFRA_REPARTIDORA)</f>
        <v>  49 </v>
      </c>
      <c r="AE11" s="8" t="str">
        <f>+PARTIDO_POLO_DEMOCRATICO_ALTERNATIVO-CIFCAL!UMBRAL</f>
        <v>7,120.02 </v>
      </c>
      <c r="AF11" s="9" t="str">
        <f>+PARTIDO_POLO_DEMOCRATICO_ALTERNATIVO/TOTAL_VOTOS_VÁLIDOS</f>
        <v>3.5%</v>
      </c>
      <c r="AG11" s="10"/>
      <c r="AH11" s="10"/>
      <c r="AI11" s="10"/>
      <c r="AJ11" s="10"/>
      <c r="AK11" s="10"/>
      <c r="AL11" s="10"/>
      <c r="AM11" s="10"/>
    </row>
    <row r="12">
      <c r="A12" s="4">
        <v>11.0</v>
      </c>
      <c r="B12" s="4" t="s">
        <v>52</v>
      </c>
      <c r="C12" s="4" t="s">
        <v>53</v>
      </c>
      <c r="D12" s="5">
        <v>5924.0</v>
      </c>
      <c r="E12" s="4" t="str">
        <f>+PARTIDO_OPCION_CIUDADANA/CIFRA_REPARTIDORA</f>
        <v>0.2685306063</v>
      </c>
      <c r="F12" s="4" t="str">
        <f>IF(PARTIDO_OPCION_CIUDADANA&gt;=CIFCAL!UMBRAL,"PASA","NO PASA")</f>
        <v>NO PASA</v>
      </c>
      <c r="G12" s="4" t="str">
        <f>IF(PARTIDO_OPCION_CIUDADANA&gt;=CIFCAL!UMBRAL,PARTIDO_OPCION_CIUDADANA,0)</f>
        <v>0</v>
      </c>
      <c r="H12" s="4" t="str">
        <f t="shared" si="1"/>
        <v>0</v>
      </c>
      <c r="I12" s="4" t="str">
        <f t="shared" si="2"/>
        <v>0</v>
      </c>
      <c r="J12" s="4" t="str">
        <f t="shared" si="3"/>
        <v>0</v>
      </c>
      <c r="K12" s="4" t="str">
        <f t="shared" si="4"/>
        <v>0</v>
      </c>
      <c r="L12" s="4" t="str">
        <f t="shared" si="5"/>
        <v>0</v>
      </c>
      <c r="M12" s="4" t="str">
        <f t="shared" si="6"/>
        <v>0</v>
      </c>
      <c r="N12" s="4" t="str">
        <f t="shared" si="7"/>
        <v>0</v>
      </c>
      <c r="O12" s="4" t="str">
        <f t="shared" si="8"/>
        <v>0</v>
      </c>
      <c r="P12" s="4" t="str">
        <f t="shared" si="9"/>
        <v>0</v>
      </c>
      <c r="Q12" s="4" t="str">
        <f t="shared" si="10"/>
        <v>0</v>
      </c>
      <c r="R12" s="4" t="str">
        <f t="shared" si="11"/>
        <v>0</v>
      </c>
      <c r="S12" s="4" t="str">
        <f t="shared" si="12"/>
        <v>0</v>
      </c>
      <c r="T12" s="4" t="str">
        <f t="shared" si="13"/>
        <v>0</v>
      </c>
      <c r="U12" s="4" t="str">
        <f t="shared" si="14"/>
        <v>0</v>
      </c>
      <c r="V12" s="4" t="str">
        <f t="shared" si="15"/>
        <v>0</v>
      </c>
      <c r="W12" s="4" t="str">
        <f t="shared" si="16"/>
        <v>0</v>
      </c>
      <c r="X12" s="4" t="str">
        <f t="shared" si="17"/>
        <v>0</v>
      </c>
      <c r="Y12" s="4" t="str">
        <f t="shared" si="18"/>
        <v>0</v>
      </c>
      <c r="Z12" s="4" t="str">
        <f t="shared" si="19"/>
        <v>0</v>
      </c>
      <c r="AA12" s="4" t="str">
        <f t="shared" si="20"/>
        <v>0</v>
      </c>
      <c r="AB12" s="4" t="str">
        <f t="shared" si="21"/>
        <v>0</v>
      </c>
      <c r="AC12" s="7" t="str">
        <f t="shared" si="22"/>
        <v>0</v>
      </c>
      <c r="AD12" s="6" t="str">
        <f>+PARTIDO_OPCION_CIUDADANA-(AC12*CIFRA_REPARTIDORA)</f>
        <v>  5,924 </v>
      </c>
      <c r="AE12" s="8" t="str">
        <f>+MOVIMIENTO_ALTERNATIVO_INDIGENA_Y_SOCIAL_MAIS-CIFCAL!UMBRAL</f>
        <v>-11,394.98 </v>
      </c>
      <c r="AF12" s="9" t="str">
        <f>+PARTIDO_OPCION_CIUDADANA/TOTAL_VOTOS_VÁLIDOS</f>
        <v>0.9%</v>
      </c>
      <c r="AG12" s="10"/>
      <c r="AH12" s="10"/>
      <c r="AI12" s="10"/>
      <c r="AJ12" s="10"/>
      <c r="AK12" s="10"/>
      <c r="AL12" s="10"/>
      <c r="AM12" s="10"/>
    </row>
    <row r="13">
      <c r="A13" s="4">
        <v>12.0</v>
      </c>
      <c r="B13" s="4" t="s">
        <v>54</v>
      </c>
      <c r="C13" s="4" t="s">
        <v>55</v>
      </c>
      <c r="D13" s="5">
        <v>3595.0</v>
      </c>
      <c r="E13" s="4" t="str">
        <f>+MOVIMIENTO_ALTERNATIVO_INDIGENA_Y_SOCIAL_MAIS/CIFRA_REPARTIDORA</f>
        <v>0.1629587322</v>
      </c>
      <c r="F13" s="4" t="str">
        <f>IF(MOVIMIENTO_ALTERNATIVO_INDIGENA_Y_SOCIAL_MAIS&gt;=CIFCAL!UMBRAL,"PASA","NO PASA")</f>
        <v>NO PASA</v>
      </c>
      <c r="G13" s="4" t="str">
        <f>IF(MOVIMIENTO_ALTERNATIVO_INDIGENA_Y_SOCIAL_MAIS&gt;=CIFCAL!UMBRAL,MOVIMIENTO_ALTERNATIVO_INDIGENA_Y_SOCIAL_MAIS,0)</f>
        <v>0</v>
      </c>
      <c r="H13" s="4" t="str">
        <f t="shared" si="1"/>
        <v>0</v>
      </c>
      <c r="I13" s="4" t="str">
        <f t="shared" si="2"/>
        <v>0</v>
      </c>
      <c r="J13" s="4" t="str">
        <f t="shared" si="3"/>
        <v>0</v>
      </c>
      <c r="K13" s="4" t="str">
        <f t="shared" si="4"/>
        <v>0</v>
      </c>
      <c r="L13" s="4" t="str">
        <f t="shared" si="5"/>
        <v>0</v>
      </c>
      <c r="M13" s="4" t="str">
        <f t="shared" si="6"/>
        <v>0</v>
      </c>
      <c r="N13" s="4" t="str">
        <f t="shared" si="7"/>
        <v>0</v>
      </c>
      <c r="O13" s="4" t="str">
        <f t="shared" si="8"/>
        <v>0</v>
      </c>
      <c r="P13" s="4" t="str">
        <f t="shared" si="9"/>
        <v>0</v>
      </c>
      <c r="Q13" s="4" t="str">
        <f t="shared" si="10"/>
        <v>0</v>
      </c>
      <c r="R13" s="4" t="str">
        <f t="shared" si="11"/>
        <v>0</v>
      </c>
      <c r="S13" s="4" t="str">
        <f t="shared" si="12"/>
        <v>0</v>
      </c>
      <c r="T13" s="4" t="str">
        <f t="shared" si="13"/>
        <v>0</v>
      </c>
      <c r="U13" s="4" t="str">
        <f t="shared" si="14"/>
        <v>0</v>
      </c>
      <c r="V13" s="4" t="str">
        <f t="shared" si="15"/>
        <v>0</v>
      </c>
      <c r="W13" s="4" t="str">
        <f t="shared" si="16"/>
        <v>0</v>
      </c>
      <c r="X13" s="4" t="str">
        <f t="shared" si="17"/>
        <v>0</v>
      </c>
      <c r="Y13" s="4" t="str">
        <f t="shared" si="18"/>
        <v>0</v>
      </c>
      <c r="Z13" s="4" t="str">
        <f t="shared" si="19"/>
        <v>0</v>
      </c>
      <c r="AA13" s="4" t="str">
        <f t="shared" si="20"/>
        <v>0</v>
      </c>
      <c r="AB13" s="4" t="str">
        <f t="shared" si="21"/>
        <v>0</v>
      </c>
      <c r="AC13" s="7" t="str">
        <f t="shared" si="22"/>
        <v>0</v>
      </c>
      <c r="AD13" s="6" t="str">
        <f>+MOVIMIENTO_ALTERNATIVO_INDIGENA_Y_SOCIAL_MAIS-(AC13*CIFRA_REPARTIDORA)</f>
        <v>  3,595 </v>
      </c>
      <c r="AE13" s="8" t="str">
        <f>+MOVIMIENTO_ALTERNATIVO_INDIGENA_Y_SOCIAL_MAIS-CIFCAL!UMBRAL</f>
        <v>-11,394.98 </v>
      </c>
      <c r="AF13" s="9" t="str">
        <f>+MOVIMIENTO_ALTERNATIVO_INDIGENA_Y_SOCIAL_MAIS/TOTAL_VOTOS_VÁLIDOS</f>
        <v>0.6%</v>
      </c>
      <c r="AG13" s="10"/>
      <c r="AH13" s="10"/>
      <c r="AI13" s="10"/>
      <c r="AJ13" s="10"/>
      <c r="AK13" s="10"/>
      <c r="AL13" s="10"/>
      <c r="AM13" s="10"/>
    </row>
    <row r="14">
      <c r="A14" s="4"/>
      <c r="B14" s="4" t="s">
        <v>56</v>
      </c>
      <c r="C14" s="4" t="s">
        <v>57</v>
      </c>
      <c r="D14" s="5">
        <v>85556.0</v>
      </c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7" t="str">
        <f>SUM(AC2:AC13)</f>
        <v>21</v>
      </c>
      <c r="AD14" s="4"/>
      <c r="AE14" s="4"/>
      <c r="AF14" s="9" t="str">
        <f>+VOTOS_EN_BLANCO/TOTAL_VOTOS_VÁLIDOS</f>
        <v>13.6%</v>
      </c>
      <c r="AG14" s="10"/>
      <c r="AH14" s="10"/>
      <c r="AI14" s="10"/>
      <c r="AJ14" s="10"/>
      <c r="AK14" s="10"/>
      <c r="AL14" s="10"/>
      <c r="AM14" s="10"/>
    </row>
    <row r="15">
      <c r="A15" s="4"/>
      <c r="B15" s="4" t="s">
        <v>58</v>
      </c>
      <c r="C15" s="4" t="s">
        <v>59</v>
      </c>
      <c r="D15" s="5" t="str">
        <f>SUM(D2:D14)</f>
        <v>  629,579 </v>
      </c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9" t="str">
        <f>SUBTOTAL(109,AF2:AF14)</f>
        <v>100.0%</v>
      </c>
      <c r="AG15" s="10"/>
      <c r="AH15" s="10"/>
      <c r="AI15" s="10"/>
      <c r="AJ15" s="10"/>
      <c r="AK15" s="10"/>
      <c r="AL15" s="10"/>
      <c r="AM15" s="10"/>
    </row>
    <row r="16">
      <c r="A16" s="4"/>
      <c r="B16" s="4" t="s">
        <v>4</v>
      </c>
      <c r="C16" s="4" t="s">
        <v>60</v>
      </c>
      <c r="D16" s="11">
        <v>21.0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10"/>
      <c r="AH16" s="10"/>
      <c r="AI16" s="10"/>
      <c r="AJ16" s="10"/>
      <c r="AK16" s="10"/>
      <c r="AL16" s="10"/>
      <c r="AM16" s="10"/>
    </row>
    <row r="17">
      <c r="A17" s="4"/>
      <c r="B17" s="4" t="s">
        <v>61</v>
      </c>
      <c r="C17" s="4" t="s">
        <v>61</v>
      </c>
      <c r="D17" s="12" t="str">
        <f>+D15/(D16*2)</f>
        <v>  14,989.98 </v>
      </c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10"/>
      <c r="AH17" s="10"/>
      <c r="AI17" s="10"/>
      <c r="AJ17" s="10"/>
      <c r="AK17" s="10"/>
      <c r="AL17" s="10"/>
      <c r="AM17" s="10"/>
    </row>
    <row r="18">
      <c r="A18" s="4"/>
      <c r="B18" s="4" t="s">
        <v>62</v>
      </c>
      <c r="C18" s="4" t="s">
        <v>63</v>
      </c>
      <c r="D18" s="12" t="str">
        <f>LARGE(H2:AB13,CURULES_A_PROVEER)</f>
        <v>  22,060.80 </v>
      </c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10"/>
      <c r="AH18" s="10"/>
      <c r="AI18" s="10"/>
      <c r="AJ18" s="10"/>
      <c r="AK18" s="10"/>
      <c r="AL18" s="10"/>
      <c r="AM18" s="10"/>
    </row>
    <row r="19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ht="15.75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ht="15.75" customHeigh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ht="15.75" customHeight="1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ht="15.75" customHeigh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ht="15.75" customHeight="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ht="15.75" customHeight="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ht="15.75" customHeigh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ht="15.75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ht="15.75" customHeight="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ht="15.75" customHeight="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ht="15.75" customHeight="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ht="15.75" customHeigh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ht="15.75" customHeight="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ht="15.75" customHeigh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ht="15.75" customHeight="1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ht="15.7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ht="15.7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ht="15.7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ht="15.75" customHeight="1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ht="15.75" customHeight="1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ht="15.75" customHeight="1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ht="15.75" customHeight="1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ht="15.75" customHeight="1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ht="15.75" customHeight="1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ht="15.75" customHeight="1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ht="15.75" customHeight="1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ht="15.75" customHeight="1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ht="15.75" customHeight="1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ht="15.75" customHeight="1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ht="15.75" customHeight="1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</row>
    <row r="51" ht="15.75" customHeight="1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</row>
    <row r="52" ht="15.75" customHeight="1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</row>
    <row r="53" ht="15.75" customHeight="1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</row>
    <row r="54" ht="15.75" customHeight="1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</row>
    <row r="55" ht="15.75" customHeight="1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</row>
    <row r="56" ht="15.75" customHeight="1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</row>
    <row r="57" ht="15.75" customHeight="1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</row>
    <row r="58" ht="15.75" customHeight="1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</row>
    <row r="59" ht="15.75" customHeight="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</row>
    <row r="60" ht="15.75" customHeight="1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</row>
    <row r="61" ht="15.75" customHeight="1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</row>
    <row r="62" ht="15.75" customHeight="1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</row>
    <row r="63" ht="15.75" customHeight="1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</row>
    <row r="64" ht="15.75" customHeight="1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</row>
    <row r="65" ht="15.75" customHeight="1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</row>
    <row r="66" ht="15.75" customHeight="1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</row>
    <row r="67" ht="15.75" customHeight="1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</row>
    <row r="68" ht="15.75" customHeight="1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</row>
    <row r="69" ht="15.75" customHeight="1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</row>
    <row r="70" ht="15.75" customHeight="1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</row>
    <row r="71" ht="15.75" customHeight="1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</row>
    <row r="72" ht="15.75" customHeight="1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</row>
    <row r="73" ht="15.75" customHeight="1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</row>
    <row r="74" ht="15.75" customHeight="1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</row>
    <row r="75" ht="15.75" customHeight="1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</row>
    <row r="76" ht="15.75" customHeight="1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</row>
    <row r="77" ht="15.75" customHeight="1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</row>
    <row r="78" ht="15.75" customHeight="1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</row>
    <row r="79" ht="15.75" customHeight="1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</row>
    <row r="80" ht="15.75" customHeight="1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</row>
    <row r="81" ht="15.75" customHeight="1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</row>
    <row r="82" ht="15.75" customHeight="1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</row>
    <row r="83" ht="15.75" customHeight="1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</row>
    <row r="84" ht="15.75" customHeight="1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</row>
    <row r="85" ht="15.75" customHeight="1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</row>
    <row r="86" ht="15.75" customHeight="1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</row>
    <row r="87" ht="15.75" customHeight="1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</row>
    <row r="88" ht="15.75" customHeight="1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</row>
    <row r="89" ht="15.75" customHeight="1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</row>
    <row r="90" ht="15.75" customHeight="1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</row>
    <row r="91" ht="15.75" customHeight="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</row>
    <row r="92" ht="15.75" customHeight="1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</row>
    <row r="93" ht="15.75" customHeight="1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</row>
    <row r="94" ht="15.75" customHeight="1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</row>
    <row r="95" ht="15.75" customHeight="1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</row>
    <row r="96" ht="15.75" customHeight="1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</row>
    <row r="97" ht="15.75" customHeight="1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</row>
    <row r="98" ht="15.75" customHeight="1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</row>
    <row r="99" ht="15.75" customHeight="1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</row>
    <row r="100" ht="15.75" customHeight="1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</row>
  </sheetData>
  <printOptions/>
  <pageMargins bottom="0.75" footer="0.0" header="0.0" left="0.7" right="0.7" top="0.75"/>
  <pageSetup orientation="portrait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7030A0"/>
    <pageSetUpPr/>
  </sheetPr>
  <sheetViews>
    <sheetView workbookViewId="0">
      <pane ySplit="7.0" topLeftCell="A8" activePane="bottomLeft" state="frozen"/>
      <selection activeCell="B9" sqref="B9" pane="bottomLeft"/>
    </sheetView>
  </sheetViews>
  <sheetFormatPr customHeight="1" defaultColWidth="14.43" defaultRowHeight="15.0"/>
  <cols>
    <col customWidth="1" hidden="1" min="1" max="1" width="16.14"/>
    <col customWidth="1" hidden="1" min="2" max="2" width="9.86"/>
    <col customWidth="1" min="3" max="3" width="52.57"/>
    <col customWidth="1" hidden="1" min="4" max="4" width="14.43"/>
    <col customWidth="1" min="5" max="5" width="52.57"/>
    <col customWidth="1" min="6" max="6" width="11.71"/>
    <col customWidth="1" min="7" max="7" width="19.43"/>
    <col customWidth="1" min="8" max="8" width="8.57"/>
    <col customWidth="1" min="9" max="9" width="9.14"/>
    <col customWidth="1" hidden="1" min="10" max="10" width="7.86"/>
    <col customWidth="1" min="11" max="11" width="11.71"/>
    <col customWidth="1" min="12" max="14" width="10.71"/>
    <col customWidth="1" hidden="1" min="15" max="15" width="10.71"/>
    <col customWidth="1" min="16" max="16" width="10.71"/>
    <col customWidth="1" hidden="1" min="17" max="17" width="10.71"/>
  </cols>
  <sheetData>
    <row r="1">
      <c r="A1" s="10"/>
      <c r="B1" s="10"/>
      <c r="C1" s="13" t="s">
        <v>64</v>
      </c>
      <c r="D1" s="14"/>
      <c r="E1" s="15" t="s">
        <v>65</v>
      </c>
      <c r="F1" s="13" t="s">
        <v>66</v>
      </c>
      <c r="G1" s="13" t="s">
        <v>67</v>
      </c>
      <c r="H1" s="13" t="s">
        <v>4</v>
      </c>
      <c r="I1" s="13" t="s">
        <v>68</v>
      </c>
      <c r="J1" s="10"/>
      <c r="K1" s="10"/>
      <c r="L1" s="10"/>
      <c r="Q1" s="10" t="s">
        <v>66</v>
      </c>
    </row>
    <row r="2">
      <c r="A2" s="10"/>
      <c r="B2" s="10"/>
      <c r="C2" s="16"/>
      <c r="D2" s="17"/>
      <c r="E2" s="18"/>
      <c r="F2" s="19"/>
      <c r="G2" s="18"/>
      <c r="H2" s="18"/>
      <c r="I2" s="20"/>
      <c r="J2" s="10"/>
      <c r="K2" s="21"/>
      <c r="L2" s="21"/>
      <c r="Q2" s="10" t="s">
        <v>69</v>
      </c>
    </row>
    <row r="3">
      <c r="A3" s="10"/>
      <c r="B3" s="10"/>
      <c r="C3" s="10"/>
      <c r="D3" s="10"/>
      <c r="E3" s="10"/>
      <c r="F3" s="10"/>
      <c r="G3" s="10"/>
      <c r="H3" s="10"/>
      <c r="I3" s="10"/>
      <c r="J3" s="10"/>
      <c r="K3" s="21"/>
      <c r="L3" s="21"/>
      <c r="O3" s="10" t="s">
        <v>70</v>
      </c>
    </row>
    <row r="4">
      <c r="A4" s="10"/>
      <c r="B4" s="10"/>
      <c r="C4" s="10"/>
      <c r="D4" s="10"/>
      <c r="E4" s="10"/>
      <c r="F4" s="10"/>
      <c r="G4" s="10"/>
      <c r="H4" s="10"/>
      <c r="I4" s="10"/>
      <c r="J4" s="10"/>
      <c r="K4" s="21"/>
      <c r="L4" s="21"/>
      <c r="O4" s="10" t="s">
        <v>71</v>
      </c>
    </row>
    <row r="5">
      <c r="A5" s="10"/>
      <c r="B5" s="10"/>
      <c r="C5" s="10"/>
      <c r="D5" s="10"/>
      <c r="E5" s="10"/>
      <c r="F5" s="10"/>
      <c r="G5" s="10"/>
      <c r="H5" s="10"/>
      <c r="I5" s="10"/>
      <c r="J5" s="10"/>
      <c r="K5" s="21"/>
      <c r="L5" s="21"/>
      <c r="O5" s="10"/>
    </row>
    <row r="6">
      <c r="A6" s="10"/>
      <c r="B6" s="10"/>
      <c r="C6" s="10"/>
      <c r="D6" s="10"/>
      <c r="E6" s="10"/>
      <c r="F6" s="10"/>
      <c r="G6" s="10"/>
      <c r="H6" s="10"/>
      <c r="I6" s="10"/>
      <c r="J6" s="10"/>
      <c r="K6" s="21"/>
      <c r="L6" s="21"/>
    </row>
    <row r="7">
      <c r="A7" s="4" t="s">
        <v>72</v>
      </c>
      <c r="B7" s="4" t="s">
        <v>0</v>
      </c>
      <c r="C7" s="4" t="s">
        <v>64</v>
      </c>
      <c r="D7" s="22" t="s">
        <v>73</v>
      </c>
      <c r="E7" s="22" t="s">
        <v>65</v>
      </c>
      <c r="F7" s="4" t="s">
        <v>66</v>
      </c>
      <c r="G7" s="6" t="s">
        <v>67</v>
      </c>
      <c r="H7" s="4" t="s">
        <v>74</v>
      </c>
      <c r="I7" s="4" t="s">
        <v>4</v>
      </c>
      <c r="J7" s="4" t="s">
        <v>75</v>
      </c>
      <c r="K7" s="4" t="s">
        <v>68</v>
      </c>
      <c r="L7" s="10"/>
    </row>
    <row r="8">
      <c r="A8" s="4" t="str">
        <f t="shared" ref="A8:A246" si="1">CONCATENATE(B8,D8)</f>
        <v>10</v>
      </c>
      <c r="B8" s="4">
        <v>1.0</v>
      </c>
      <c r="C8" s="4" t="s">
        <v>33</v>
      </c>
      <c r="D8" s="23">
        <v>0.0</v>
      </c>
      <c r="E8" s="24" t="s">
        <v>33</v>
      </c>
      <c r="F8" s="24"/>
      <c r="G8" s="25" t="str">
        <f>PARTIDO_CONSERVADOR_COLOMBIANO-SUM(G9:G29)</f>
        <v>- 2,025 </v>
      </c>
      <c r="H8" s="24" t="str">
        <f>IF(D8=0,0,CANDCALI!$G8)</f>
        <v>0</v>
      </c>
      <c r="I8" s="26" t="str">
        <f>CIFCAL!AC2</f>
        <v>3</v>
      </c>
      <c r="J8" s="24" t="str">
        <f>LARGE(H8:H28,CANDCALI!$I8)</f>
        <v>11800</v>
      </c>
      <c r="K8" s="24"/>
      <c r="L8" s="27"/>
      <c r="M8" s="27"/>
      <c r="N8" s="27"/>
      <c r="O8" s="27"/>
      <c r="P8" s="27"/>
      <c r="Q8" s="27"/>
    </row>
    <row r="9">
      <c r="A9" s="4" t="str">
        <f t="shared" si="1"/>
        <v>11</v>
      </c>
      <c r="B9" s="4">
        <v>1.0</v>
      </c>
      <c r="C9" s="4" t="s">
        <v>33</v>
      </c>
      <c r="D9" s="28">
        <v>1.0</v>
      </c>
      <c r="E9" s="29" t="s">
        <v>76</v>
      </c>
      <c r="F9" s="4" t="s">
        <v>77</v>
      </c>
      <c r="G9" s="6">
        <v>15366.0</v>
      </c>
      <c r="H9" s="30" t="str">
        <f>IF(D9=0,0,CANDCALI!$G9)</f>
        <v>  15,366 </v>
      </c>
      <c r="I9" s="4"/>
      <c r="J9" s="4" t="str">
        <f t="shared" ref="J9:J29" si="2">J8</f>
        <v>11800</v>
      </c>
      <c r="K9" s="24" t="str">
        <f>IF(CANDCALI!$H9&gt;=CANDCALI!$J9,"ELEGIDO","NO ELEGIDO")</f>
        <v>ELEGIDO</v>
      </c>
      <c r="L9" s="10"/>
    </row>
    <row r="10">
      <c r="A10" s="4" t="str">
        <f t="shared" si="1"/>
        <v>12</v>
      </c>
      <c r="B10" s="4">
        <v>1.0</v>
      </c>
      <c r="C10" s="4" t="s">
        <v>33</v>
      </c>
      <c r="D10" s="28">
        <v>2.0</v>
      </c>
      <c r="E10" s="29" t="s">
        <v>78</v>
      </c>
      <c r="F10" s="4" t="s">
        <v>77</v>
      </c>
      <c r="G10" s="6">
        <v>11800.0</v>
      </c>
      <c r="H10" s="30" t="str">
        <f>IF(D10=0,0,CANDCALI!$G10)</f>
        <v>  11,800 </v>
      </c>
      <c r="I10" s="4"/>
      <c r="J10" s="4" t="str">
        <f t="shared" si="2"/>
        <v>11800</v>
      </c>
      <c r="K10" s="24" t="str">
        <f>IF(CANDCALI!$H10&gt;=CANDCALI!$J10,"ELEGIDO","NO ELEGIDO")</f>
        <v>ELEGIDO</v>
      </c>
      <c r="L10" s="10"/>
    </row>
    <row r="11">
      <c r="A11" s="4" t="str">
        <f t="shared" si="1"/>
        <v>13</v>
      </c>
      <c r="B11" s="4">
        <v>1.0</v>
      </c>
      <c r="C11" s="4" t="s">
        <v>33</v>
      </c>
      <c r="D11" s="28">
        <v>3.0</v>
      </c>
      <c r="E11" s="29" t="s">
        <v>79</v>
      </c>
      <c r="F11" s="4" t="s">
        <v>69</v>
      </c>
      <c r="G11" s="6">
        <v>1055.0</v>
      </c>
      <c r="H11" s="30" t="str">
        <f>IF(D11=0,0,CANDCALI!$G11)</f>
        <v>  1,055 </v>
      </c>
      <c r="I11" s="4"/>
      <c r="J11" s="4" t="str">
        <f t="shared" si="2"/>
        <v>11800</v>
      </c>
      <c r="K11" s="24" t="str">
        <f>IF(CANDCALI!$H11&gt;=CANDCALI!$J11,"ELEGIDO","NO ELEGIDO")</f>
        <v>NO ELEGIDO</v>
      </c>
      <c r="L11" s="10"/>
    </row>
    <row r="12">
      <c r="A12" s="4" t="str">
        <f t="shared" si="1"/>
        <v>14</v>
      </c>
      <c r="B12" s="4">
        <v>1.0</v>
      </c>
      <c r="C12" s="4" t="s">
        <v>33</v>
      </c>
      <c r="D12" s="28">
        <v>4.0</v>
      </c>
      <c r="E12" s="29" t="s">
        <v>80</v>
      </c>
      <c r="F12" s="4" t="s">
        <v>77</v>
      </c>
      <c r="G12" s="6">
        <v>3698.0</v>
      </c>
      <c r="H12" s="30" t="str">
        <f>IF(D12=0,0,CANDCALI!$G12)</f>
        <v>  3,698 </v>
      </c>
      <c r="I12" s="4"/>
      <c r="J12" s="4" t="str">
        <f t="shared" si="2"/>
        <v>11800</v>
      </c>
      <c r="K12" s="24" t="str">
        <f>IF(CANDCALI!$H12&gt;=CANDCALI!$J12,"ELEGIDO","NO ELEGIDO")</f>
        <v>NO ELEGIDO</v>
      </c>
      <c r="L12" s="10"/>
    </row>
    <row r="13">
      <c r="A13" s="4" t="str">
        <f t="shared" si="1"/>
        <v>15</v>
      </c>
      <c r="B13" s="4">
        <v>1.0</v>
      </c>
      <c r="C13" s="4" t="s">
        <v>33</v>
      </c>
      <c r="D13" s="28">
        <v>5.0</v>
      </c>
      <c r="E13" s="29" t="s">
        <v>81</v>
      </c>
      <c r="F13" s="4" t="s">
        <v>77</v>
      </c>
      <c r="G13" s="6">
        <v>100.0</v>
      </c>
      <c r="H13" s="30" t="str">
        <f>IF(D13=0,0,CANDCALI!$G13)</f>
        <v>  100 </v>
      </c>
      <c r="I13" s="4"/>
      <c r="J13" s="4" t="str">
        <f t="shared" si="2"/>
        <v>11800</v>
      </c>
      <c r="K13" s="24" t="str">
        <f>IF(CANDCALI!$H13&gt;=CANDCALI!$J13,"ELEGIDO","NO ELEGIDO")</f>
        <v>NO ELEGIDO</v>
      </c>
      <c r="L13" s="10"/>
    </row>
    <row r="14">
      <c r="A14" s="4" t="str">
        <f t="shared" si="1"/>
        <v>16</v>
      </c>
      <c r="B14" s="4">
        <v>1.0</v>
      </c>
      <c r="C14" s="4" t="s">
        <v>33</v>
      </c>
      <c r="D14" s="28">
        <v>6.0</v>
      </c>
      <c r="E14" s="29" t="s">
        <v>82</v>
      </c>
      <c r="F14" s="4" t="s">
        <v>77</v>
      </c>
      <c r="G14" s="6">
        <v>1566.0</v>
      </c>
      <c r="H14" s="30" t="str">
        <f>IF(D14=0,0,CANDCALI!$G14)</f>
        <v>  1,566 </v>
      </c>
      <c r="I14" s="4"/>
      <c r="J14" s="4" t="str">
        <f t="shared" si="2"/>
        <v>11800</v>
      </c>
      <c r="K14" s="24" t="str">
        <f>IF(CANDCALI!$H14&gt;=CANDCALI!$J14,"ELEGIDO","NO ELEGIDO")</f>
        <v>NO ELEGIDO</v>
      </c>
      <c r="L14" s="10"/>
    </row>
    <row r="15">
      <c r="A15" s="4" t="str">
        <f t="shared" si="1"/>
        <v>17</v>
      </c>
      <c r="B15" s="4">
        <v>1.0</v>
      </c>
      <c r="C15" s="4" t="s">
        <v>33</v>
      </c>
      <c r="D15" s="28">
        <v>7.0</v>
      </c>
      <c r="E15" s="29" t="s">
        <v>83</v>
      </c>
      <c r="F15" s="4" t="s">
        <v>77</v>
      </c>
      <c r="G15" s="6">
        <v>993.0</v>
      </c>
      <c r="H15" s="30" t="str">
        <f>IF(D15=0,0,CANDCALI!$G15)</f>
        <v>  993 </v>
      </c>
      <c r="I15" s="4"/>
      <c r="J15" s="4" t="str">
        <f t="shared" si="2"/>
        <v>11800</v>
      </c>
      <c r="K15" s="24" t="str">
        <f>IF(CANDCALI!$H15&gt;=CANDCALI!$J15,"ELEGIDO","NO ELEGIDO")</f>
        <v>NO ELEGIDO</v>
      </c>
      <c r="L15" s="10"/>
    </row>
    <row r="16">
      <c r="A16" s="4" t="str">
        <f t="shared" si="1"/>
        <v>18</v>
      </c>
      <c r="B16" s="4">
        <v>1.0</v>
      </c>
      <c r="C16" s="4" t="s">
        <v>33</v>
      </c>
      <c r="D16" s="28">
        <v>8.0</v>
      </c>
      <c r="E16" s="29" t="s">
        <v>84</v>
      </c>
      <c r="F16" s="4" t="s">
        <v>77</v>
      </c>
      <c r="G16" s="6">
        <v>1455.0</v>
      </c>
      <c r="H16" s="30" t="str">
        <f>IF(D16=0,0,CANDCALI!$G16)</f>
        <v>  1,455 </v>
      </c>
      <c r="I16" s="4"/>
      <c r="J16" s="4" t="str">
        <f t="shared" si="2"/>
        <v>11800</v>
      </c>
      <c r="K16" s="24" t="str">
        <f>IF(CANDCALI!$H16&gt;=CANDCALI!$J16,"ELEGIDO","NO ELEGIDO")</f>
        <v>NO ELEGIDO</v>
      </c>
      <c r="L16" s="10"/>
    </row>
    <row r="17">
      <c r="A17" s="4" t="str">
        <f t="shared" si="1"/>
        <v>19</v>
      </c>
      <c r="B17" s="4">
        <v>1.0</v>
      </c>
      <c r="C17" s="4" t="s">
        <v>33</v>
      </c>
      <c r="D17" s="28">
        <v>9.0</v>
      </c>
      <c r="E17" s="29" t="s">
        <v>85</v>
      </c>
      <c r="F17" s="4" t="s">
        <v>77</v>
      </c>
      <c r="G17" s="6">
        <v>35.0</v>
      </c>
      <c r="H17" s="30" t="str">
        <f>IF(D17=0,0,CANDCALI!$G17)</f>
        <v>  35 </v>
      </c>
      <c r="I17" s="4"/>
      <c r="J17" s="4" t="str">
        <f t="shared" si="2"/>
        <v>11800</v>
      </c>
      <c r="K17" s="24" t="str">
        <f>IF(CANDCALI!$H17&gt;=CANDCALI!$J17,"ELEGIDO","NO ELEGIDO")</f>
        <v>NO ELEGIDO</v>
      </c>
      <c r="L17" s="10"/>
    </row>
    <row r="18">
      <c r="A18" s="4" t="str">
        <f t="shared" si="1"/>
        <v>110</v>
      </c>
      <c r="B18" s="4">
        <v>1.0</v>
      </c>
      <c r="C18" s="4" t="s">
        <v>33</v>
      </c>
      <c r="D18" s="28">
        <v>10.0</v>
      </c>
      <c r="E18" s="29" t="s">
        <v>86</v>
      </c>
      <c r="F18" s="4" t="s">
        <v>77</v>
      </c>
      <c r="G18" s="6">
        <v>1956.0</v>
      </c>
      <c r="H18" s="30" t="str">
        <f>IF(D18=0,0,CANDCALI!$G18)</f>
        <v>  1,956 </v>
      </c>
      <c r="I18" s="4"/>
      <c r="J18" s="4" t="str">
        <f t="shared" si="2"/>
        <v>11800</v>
      </c>
      <c r="K18" s="24" t="str">
        <f>IF(CANDCALI!$H18&gt;=CANDCALI!$J18,"ELEGIDO","NO ELEGIDO")</f>
        <v>NO ELEGIDO</v>
      </c>
      <c r="L18" s="10"/>
    </row>
    <row r="19">
      <c r="A19" s="4" t="str">
        <f t="shared" si="1"/>
        <v>111</v>
      </c>
      <c r="B19" s="4">
        <v>1.0</v>
      </c>
      <c r="C19" s="4" t="s">
        <v>33</v>
      </c>
      <c r="D19" s="28">
        <v>11.0</v>
      </c>
      <c r="E19" s="29" t="s">
        <v>87</v>
      </c>
      <c r="F19" s="4" t="s">
        <v>77</v>
      </c>
      <c r="G19" s="6">
        <v>14000.0</v>
      </c>
      <c r="H19" s="30" t="str">
        <f>IF(D19=0,0,CANDCALI!$G19)</f>
        <v>  14,000 </v>
      </c>
      <c r="I19" s="4"/>
      <c r="J19" s="4" t="str">
        <f t="shared" si="2"/>
        <v>11800</v>
      </c>
      <c r="K19" s="24" t="str">
        <f>IF(CANDCALI!$H19&gt;=CANDCALI!$J19,"ELEGIDO","NO ELEGIDO")</f>
        <v>ELEGIDO</v>
      </c>
      <c r="L19" s="10"/>
    </row>
    <row r="20">
      <c r="A20" s="4" t="str">
        <f t="shared" si="1"/>
        <v>112</v>
      </c>
      <c r="B20" s="4">
        <v>1.0</v>
      </c>
      <c r="C20" s="4" t="s">
        <v>33</v>
      </c>
      <c r="D20" s="28">
        <v>12.0</v>
      </c>
      <c r="E20" s="29" t="s">
        <v>88</v>
      </c>
      <c r="F20" s="4" t="s">
        <v>77</v>
      </c>
      <c r="G20" s="6">
        <v>987.0</v>
      </c>
      <c r="H20" s="30" t="str">
        <f>IF(D20=0,0,CANDCALI!$G20)</f>
        <v>  987 </v>
      </c>
      <c r="I20" s="4"/>
      <c r="J20" s="4" t="str">
        <f t="shared" si="2"/>
        <v>11800</v>
      </c>
      <c r="K20" s="24" t="str">
        <f>IF(CANDCALI!$H20&gt;=CANDCALI!$J20,"ELEGIDO","NO ELEGIDO")</f>
        <v>NO ELEGIDO</v>
      </c>
      <c r="L20" s="10"/>
    </row>
    <row r="21" ht="15.75" customHeight="1">
      <c r="A21" s="4" t="str">
        <f t="shared" si="1"/>
        <v>113</v>
      </c>
      <c r="B21" s="4">
        <v>1.0</v>
      </c>
      <c r="C21" s="4" t="s">
        <v>33</v>
      </c>
      <c r="D21" s="28">
        <v>13.0</v>
      </c>
      <c r="E21" s="29" t="s">
        <v>89</v>
      </c>
      <c r="F21" s="4" t="s">
        <v>77</v>
      </c>
      <c r="G21" s="6">
        <v>5962.0</v>
      </c>
      <c r="H21" s="30" t="str">
        <f>IF(D21=0,0,CANDCALI!$G21)</f>
        <v>  5,962 </v>
      </c>
      <c r="I21" s="4"/>
      <c r="J21" s="4" t="str">
        <f t="shared" si="2"/>
        <v>11800</v>
      </c>
      <c r="K21" s="24" t="str">
        <f>IF(CANDCALI!$H21&gt;=CANDCALI!$J21,"ELEGIDO","NO ELEGIDO")</f>
        <v>NO ELEGIDO</v>
      </c>
      <c r="L21" s="10"/>
    </row>
    <row r="22" ht="15.75" customHeight="1">
      <c r="A22" s="4" t="str">
        <f t="shared" si="1"/>
        <v>114</v>
      </c>
      <c r="B22" s="4">
        <v>1.0</v>
      </c>
      <c r="C22" s="4" t="s">
        <v>33</v>
      </c>
      <c r="D22" s="28">
        <v>14.0</v>
      </c>
      <c r="E22" s="29" t="s">
        <v>90</v>
      </c>
      <c r="F22" s="4" t="s">
        <v>69</v>
      </c>
      <c r="G22" s="6">
        <v>9051.0</v>
      </c>
      <c r="H22" s="30" t="str">
        <f>IF(D22=0,0,CANDCALI!$G22)</f>
        <v>  9,051 </v>
      </c>
      <c r="I22" s="4"/>
      <c r="J22" s="4" t="str">
        <f t="shared" si="2"/>
        <v>11800</v>
      </c>
      <c r="K22" s="24" t="str">
        <f>IF(CANDCALI!$H22&gt;=CANDCALI!$J22,"ELEGIDO","NO ELEGIDO")</f>
        <v>NO ELEGIDO</v>
      </c>
      <c r="L22" s="10"/>
    </row>
    <row r="23" ht="15.75" customHeight="1">
      <c r="A23" s="4" t="str">
        <f t="shared" si="1"/>
        <v>115</v>
      </c>
      <c r="B23" s="4">
        <v>1.0</v>
      </c>
      <c r="C23" s="4" t="s">
        <v>33</v>
      </c>
      <c r="D23" s="28">
        <v>15.0</v>
      </c>
      <c r="E23" s="29" t="s">
        <v>91</v>
      </c>
      <c r="F23" s="4" t="s">
        <v>69</v>
      </c>
      <c r="G23" s="6">
        <v>1989.0</v>
      </c>
      <c r="H23" s="30" t="str">
        <f>IF(D23=0,0,CANDCALI!$G23)</f>
        <v>  1,989 </v>
      </c>
      <c r="I23" s="4"/>
      <c r="J23" s="4" t="str">
        <f t="shared" si="2"/>
        <v>11800</v>
      </c>
      <c r="K23" s="24" t="str">
        <f>IF(CANDCALI!$H23&gt;=CANDCALI!$J23,"ELEGIDO","NO ELEGIDO")</f>
        <v>NO ELEGIDO</v>
      </c>
      <c r="L23" s="10"/>
    </row>
    <row r="24" ht="15.75" customHeight="1">
      <c r="A24" s="4" t="str">
        <f t="shared" si="1"/>
        <v>116</v>
      </c>
      <c r="B24" s="4">
        <v>1.0</v>
      </c>
      <c r="C24" s="4" t="s">
        <v>33</v>
      </c>
      <c r="D24" s="28">
        <v>16.0</v>
      </c>
      <c r="E24" s="29" t="s">
        <v>92</v>
      </c>
      <c r="F24" s="4" t="s">
        <v>69</v>
      </c>
      <c r="G24" s="6">
        <v>11.0</v>
      </c>
      <c r="H24" s="30" t="str">
        <f>IF(D24=0,0,CANDCALI!$G24)</f>
        <v>  11 </v>
      </c>
      <c r="I24" s="4"/>
      <c r="J24" s="4" t="str">
        <f t="shared" si="2"/>
        <v>11800</v>
      </c>
      <c r="K24" s="24" t="str">
        <f>IF(CANDCALI!$H24&gt;=CANDCALI!$J24,"ELEGIDO","NO ELEGIDO")</f>
        <v>NO ELEGIDO</v>
      </c>
      <c r="L24" s="10"/>
    </row>
    <row r="25" ht="15.75" customHeight="1">
      <c r="A25" s="4" t="str">
        <f t="shared" si="1"/>
        <v>117</v>
      </c>
      <c r="B25" s="4">
        <v>1.0</v>
      </c>
      <c r="C25" s="4" t="s">
        <v>33</v>
      </c>
      <c r="D25" s="28">
        <v>17.0</v>
      </c>
      <c r="E25" s="29" t="s">
        <v>93</v>
      </c>
      <c r="F25" s="4" t="s">
        <v>77</v>
      </c>
      <c r="G25" s="6">
        <v>5000.0</v>
      </c>
      <c r="H25" s="30" t="str">
        <f>IF(D25=0,0,CANDCALI!$G25)</f>
        <v>  5,000 </v>
      </c>
      <c r="I25" s="4"/>
      <c r="J25" s="4" t="str">
        <f t="shared" si="2"/>
        <v>11800</v>
      </c>
      <c r="K25" s="24" t="str">
        <f>IF(CANDCALI!$H25&gt;=CANDCALI!$J25,"ELEGIDO","NO ELEGIDO")</f>
        <v>NO ELEGIDO</v>
      </c>
      <c r="L25" s="10"/>
    </row>
    <row r="26" ht="15.75" customHeight="1">
      <c r="A26" s="4" t="str">
        <f t="shared" si="1"/>
        <v>118</v>
      </c>
      <c r="B26" s="4">
        <v>1.0</v>
      </c>
      <c r="C26" s="4" t="s">
        <v>33</v>
      </c>
      <c r="D26" s="28">
        <v>18.0</v>
      </c>
      <c r="E26" s="29" t="s">
        <v>94</v>
      </c>
      <c r="F26" s="4" t="s">
        <v>69</v>
      </c>
      <c r="G26" s="6">
        <v>7898.0</v>
      </c>
      <c r="H26" s="30" t="str">
        <f>IF(D26=0,0,CANDCALI!$G26)</f>
        <v>  7,898 </v>
      </c>
      <c r="I26" s="4"/>
      <c r="J26" s="4" t="str">
        <f t="shared" si="2"/>
        <v>11800</v>
      </c>
      <c r="K26" s="24" t="str">
        <f>IF(CANDCALI!$H26&gt;=CANDCALI!$J26,"ELEGIDO","NO ELEGIDO")</f>
        <v>NO ELEGIDO</v>
      </c>
      <c r="L26" s="10"/>
    </row>
    <row r="27" ht="15.75" customHeight="1">
      <c r="A27" s="4" t="str">
        <f t="shared" si="1"/>
        <v>119</v>
      </c>
      <c r="B27" s="4">
        <v>1.0</v>
      </c>
      <c r="C27" s="4" t="s">
        <v>33</v>
      </c>
      <c r="D27" s="28">
        <v>19.0</v>
      </c>
      <c r="E27" s="29" t="s">
        <v>95</v>
      </c>
      <c r="F27" s="4" t="s">
        <v>69</v>
      </c>
      <c r="G27" s="6">
        <v>2.0</v>
      </c>
      <c r="H27" s="30" t="str">
        <f>IF(D27=0,0,CANDCALI!$G27)</f>
        <v>  2 </v>
      </c>
      <c r="I27" s="4"/>
      <c r="J27" s="4" t="str">
        <f t="shared" si="2"/>
        <v>11800</v>
      </c>
      <c r="K27" s="24" t="str">
        <f>IF(CANDCALI!$H27&gt;=CANDCALI!$J27,"ELEGIDO","NO ELEGIDO")</f>
        <v>NO ELEGIDO</v>
      </c>
      <c r="L27" s="10"/>
    </row>
    <row r="28" ht="15.75" customHeight="1">
      <c r="A28" s="4" t="str">
        <f t="shared" si="1"/>
        <v>120</v>
      </c>
      <c r="B28" s="4">
        <v>1.0</v>
      </c>
      <c r="C28" s="4" t="s">
        <v>33</v>
      </c>
      <c r="D28" s="28">
        <v>20.0</v>
      </c>
      <c r="E28" s="29" t="s">
        <v>96</v>
      </c>
      <c r="F28" s="4" t="s">
        <v>69</v>
      </c>
      <c r="G28" s="6">
        <v>1500.0</v>
      </c>
      <c r="H28" s="30" t="str">
        <f>IF(D28=0,0,CANDCALI!$G28)</f>
        <v>  1,500 </v>
      </c>
      <c r="I28" s="4"/>
      <c r="J28" s="4" t="str">
        <f t="shared" si="2"/>
        <v>11800</v>
      </c>
      <c r="K28" s="24" t="str">
        <f>IF(CANDCALI!$H28&gt;=CANDCALI!$J28,"ELEGIDO","NO ELEGIDO")</f>
        <v>NO ELEGIDO</v>
      </c>
      <c r="L28" s="10"/>
    </row>
    <row r="29" ht="15.75" customHeight="1">
      <c r="A29" s="4" t="str">
        <f t="shared" si="1"/>
        <v>121</v>
      </c>
      <c r="B29" s="4">
        <v>1.0</v>
      </c>
      <c r="C29" s="4" t="s">
        <v>33</v>
      </c>
      <c r="D29" s="28">
        <v>21.0</v>
      </c>
      <c r="E29" s="29" t="s">
        <v>97</v>
      </c>
      <c r="F29" s="4" t="s">
        <v>77</v>
      </c>
      <c r="G29" s="6">
        <v>200.0</v>
      </c>
      <c r="H29" s="30" t="str">
        <f>IF(D29=0,0,CANDCALI!$G29)</f>
        <v>  200 </v>
      </c>
      <c r="I29" s="4"/>
      <c r="J29" s="4" t="str">
        <f t="shared" si="2"/>
        <v>11800</v>
      </c>
      <c r="K29" s="24" t="str">
        <f>IF(CANDCALI!$H29&gt;=CANDCALI!$J29,"ELEGIDO","NO ELEGIDO")</f>
        <v>NO ELEGIDO</v>
      </c>
      <c r="L29" s="10"/>
    </row>
    <row r="30" ht="15.75" customHeight="1">
      <c r="A30" s="4" t="str">
        <f t="shared" si="1"/>
        <v>20</v>
      </c>
      <c r="B30" s="4">
        <v>2.0</v>
      </c>
      <c r="C30" s="4" t="s">
        <v>35</v>
      </c>
      <c r="D30" s="31">
        <v>0.0</v>
      </c>
      <c r="E30" s="24" t="s">
        <v>35</v>
      </c>
      <c r="F30" s="4"/>
      <c r="G30" s="11" t="str">
        <f>PARTIDO_SOCIAL_DE_UNIDAD_NACIONAL__PARTIDO_DE_LA_U-SUM(G31:G51)</f>
        <v>  29,237 </v>
      </c>
      <c r="H30" s="24" t="str">
        <f>IF(D30=0,0,CANDCALI!$G30)</f>
        <v>0</v>
      </c>
      <c r="I30" s="26" t="str">
        <f>CIFCAL!AC3</f>
        <v>5</v>
      </c>
      <c r="J30" s="24" t="str">
        <f>LARGE(H30:H51,CANDCALI!$I30)</f>
        <v>9100</v>
      </c>
      <c r="K30" s="24"/>
      <c r="L30" s="27"/>
      <c r="M30" s="27"/>
      <c r="N30" s="27"/>
      <c r="O30" s="27"/>
      <c r="P30" s="27"/>
      <c r="Q30" s="27"/>
    </row>
    <row r="31" ht="15.75" customHeight="1">
      <c r="A31" s="4" t="str">
        <f t="shared" si="1"/>
        <v>21</v>
      </c>
      <c r="B31" s="4">
        <v>2.0</v>
      </c>
      <c r="C31" s="4" t="s">
        <v>35</v>
      </c>
      <c r="D31" s="28">
        <v>1.0</v>
      </c>
      <c r="E31" s="29" t="s">
        <v>98</v>
      </c>
      <c r="F31" s="4" t="s">
        <v>69</v>
      </c>
      <c r="G31" s="6">
        <v>9800.0</v>
      </c>
      <c r="H31" s="30" t="str">
        <f>IF(D31=0,0,CANDCALI!$G31)</f>
        <v>  9,800 </v>
      </c>
      <c r="I31" s="4"/>
      <c r="J31" s="4" t="str">
        <f t="shared" ref="J31:J51" si="3">J30</f>
        <v>9100</v>
      </c>
      <c r="K31" s="24" t="str">
        <f>IF(CANDCALI!$H31&gt;=CANDCALI!$J31,"ELEGIDO","NO ELEGIDO")</f>
        <v>ELEGIDO</v>
      </c>
      <c r="L31" s="10"/>
    </row>
    <row r="32" ht="15.75" customHeight="1">
      <c r="A32" s="4" t="str">
        <f t="shared" si="1"/>
        <v>22</v>
      </c>
      <c r="B32" s="4">
        <v>2.0</v>
      </c>
      <c r="C32" s="4" t="s">
        <v>35</v>
      </c>
      <c r="D32" s="28">
        <v>2.0</v>
      </c>
      <c r="E32" s="29" t="s">
        <v>99</v>
      </c>
      <c r="F32" s="4" t="s">
        <v>77</v>
      </c>
      <c r="G32" s="6">
        <v>5989.0</v>
      </c>
      <c r="H32" s="30" t="str">
        <f>IF(D32=0,0,CANDCALI!$G32)</f>
        <v>  5,989 </v>
      </c>
      <c r="I32" s="4"/>
      <c r="J32" s="4" t="str">
        <f t="shared" si="3"/>
        <v>9100</v>
      </c>
      <c r="K32" s="24" t="str">
        <f>IF(CANDCALI!$H32&gt;=CANDCALI!$J32,"ELEGIDO","NO ELEGIDO")</f>
        <v>NO ELEGIDO</v>
      </c>
      <c r="L32" s="10"/>
    </row>
    <row r="33" ht="15.75" customHeight="1">
      <c r="A33" s="4" t="str">
        <f t="shared" si="1"/>
        <v>23</v>
      </c>
      <c r="B33" s="4">
        <v>2.0</v>
      </c>
      <c r="C33" s="4" t="s">
        <v>35</v>
      </c>
      <c r="D33" s="28">
        <v>3.0</v>
      </c>
      <c r="E33" s="29" t="s">
        <v>100</v>
      </c>
      <c r="F33" s="4" t="s">
        <v>77</v>
      </c>
      <c r="G33" s="6">
        <v>6900.0</v>
      </c>
      <c r="H33" s="30" t="str">
        <f>IF(D33=0,0,CANDCALI!$G33)</f>
        <v>  6,900 </v>
      </c>
      <c r="I33" s="4"/>
      <c r="J33" s="4" t="str">
        <f t="shared" si="3"/>
        <v>9100</v>
      </c>
      <c r="K33" s="24" t="str">
        <f>IF(CANDCALI!$H33&gt;=CANDCALI!$J33,"ELEGIDO","NO ELEGIDO")</f>
        <v>NO ELEGIDO</v>
      </c>
      <c r="L33" s="10"/>
    </row>
    <row r="34" ht="15.75" customHeight="1">
      <c r="A34" s="4" t="str">
        <f t="shared" si="1"/>
        <v>24</v>
      </c>
      <c r="B34" s="4">
        <v>2.0</v>
      </c>
      <c r="C34" s="4" t="s">
        <v>35</v>
      </c>
      <c r="D34" s="28">
        <v>4.0</v>
      </c>
      <c r="E34" s="29" t="s">
        <v>101</v>
      </c>
      <c r="F34" s="4" t="s">
        <v>77</v>
      </c>
      <c r="G34" s="6">
        <v>4700.0</v>
      </c>
      <c r="H34" s="30" t="str">
        <f>IF(D34=0,0,CANDCALI!$G34)</f>
        <v>  4,700 </v>
      </c>
      <c r="I34" s="4"/>
      <c r="J34" s="4" t="str">
        <f t="shared" si="3"/>
        <v>9100</v>
      </c>
      <c r="K34" s="24" t="str">
        <f>IF(CANDCALI!$H34&gt;=CANDCALI!$J34,"ELEGIDO","NO ELEGIDO")</f>
        <v>NO ELEGIDO</v>
      </c>
      <c r="L34" s="10"/>
    </row>
    <row r="35" ht="15.75" customHeight="1">
      <c r="A35" s="4" t="str">
        <f t="shared" si="1"/>
        <v>25</v>
      </c>
      <c r="B35" s="4">
        <v>2.0</v>
      </c>
      <c r="C35" s="4" t="s">
        <v>35</v>
      </c>
      <c r="D35" s="28">
        <v>5.0</v>
      </c>
      <c r="E35" s="29" t="s">
        <v>102</v>
      </c>
      <c r="F35" s="4" t="s">
        <v>69</v>
      </c>
      <c r="G35" s="6">
        <v>9100.0</v>
      </c>
      <c r="H35" s="30" t="str">
        <f>IF(D35=0,0,CANDCALI!$G35)</f>
        <v>  9,100 </v>
      </c>
      <c r="I35" s="4"/>
      <c r="J35" s="4" t="str">
        <f t="shared" si="3"/>
        <v>9100</v>
      </c>
      <c r="K35" s="24" t="str">
        <f>IF(CANDCALI!$H35&gt;=CANDCALI!$J35,"ELEGIDO","NO ELEGIDO")</f>
        <v>ELEGIDO</v>
      </c>
      <c r="L35" s="10"/>
    </row>
    <row r="36" ht="15.75" customHeight="1">
      <c r="A36" s="4" t="str">
        <f t="shared" si="1"/>
        <v>26</v>
      </c>
      <c r="B36" s="4">
        <v>2.0</v>
      </c>
      <c r="C36" s="4" t="s">
        <v>35</v>
      </c>
      <c r="D36" s="28">
        <v>6.0</v>
      </c>
      <c r="E36" s="29" t="s">
        <v>103</v>
      </c>
      <c r="F36" s="4" t="s">
        <v>77</v>
      </c>
      <c r="G36" s="6">
        <v>9789.0</v>
      </c>
      <c r="H36" s="30" t="str">
        <f>IF(D36=0,0,CANDCALI!$G36)</f>
        <v>  9,789 </v>
      </c>
      <c r="I36" s="4"/>
      <c r="J36" s="4" t="str">
        <f t="shared" si="3"/>
        <v>9100</v>
      </c>
      <c r="K36" s="24" t="str">
        <f>IF(CANDCALI!$H36&gt;=CANDCALI!$J36,"ELEGIDO","NO ELEGIDO")</f>
        <v>ELEGIDO</v>
      </c>
      <c r="L36" s="10"/>
    </row>
    <row r="37" ht="15.75" customHeight="1">
      <c r="A37" s="4" t="str">
        <f t="shared" si="1"/>
        <v>27</v>
      </c>
      <c r="B37" s="4">
        <v>2.0</v>
      </c>
      <c r="C37" s="4" t="s">
        <v>35</v>
      </c>
      <c r="D37" s="28">
        <v>7.0</v>
      </c>
      <c r="E37" s="29" t="s">
        <v>104</v>
      </c>
      <c r="F37" s="4" t="s">
        <v>77</v>
      </c>
      <c r="G37" s="6">
        <v>14000.0</v>
      </c>
      <c r="H37" s="30" t="str">
        <f>IF(D37=0,0,CANDCALI!$G37)</f>
        <v>  14,000 </v>
      </c>
      <c r="I37" s="4"/>
      <c r="J37" s="4" t="str">
        <f t="shared" si="3"/>
        <v>9100</v>
      </c>
      <c r="K37" s="24" t="str">
        <f>IF(CANDCALI!$H37&gt;=CANDCALI!$J37,"ELEGIDO","NO ELEGIDO")</f>
        <v>ELEGIDO</v>
      </c>
      <c r="L37" s="10"/>
    </row>
    <row r="38" ht="15.75" customHeight="1">
      <c r="A38" s="4" t="str">
        <f t="shared" si="1"/>
        <v>28</v>
      </c>
      <c r="B38" s="4">
        <v>2.0</v>
      </c>
      <c r="C38" s="4" t="s">
        <v>35</v>
      </c>
      <c r="D38" s="28">
        <v>8.0</v>
      </c>
      <c r="E38" s="29" t="s">
        <v>105</v>
      </c>
      <c r="F38" s="4" t="s">
        <v>69</v>
      </c>
      <c r="G38" s="6">
        <v>9600.0</v>
      </c>
      <c r="H38" s="30" t="str">
        <f>IF(D38=0,0,CANDCALI!$G38)</f>
        <v>  9,600 </v>
      </c>
      <c r="I38" s="4"/>
      <c r="J38" s="4" t="str">
        <f t="shared" si="3"/>
        <v>9100</v>
      </c>
      <c r="K38" s="24" t="str">
        <f>IF(CANDCALI!$H38&gt;=CANDCALI!$J38,"ELEGIDO","NO ELEGIDO")</f>
        <v>ELEGIDO</v>
      </c>
      <c r="L38" s="10"/>
    </row>
    <row r="39" ht="15.75" customHeight="1">
      <c r="A39" s="4" t="str">
        <f t="shared" si="1"/>
        <v>29</v>
      </c>
      <c r="B39" s="4">
        <v>2.0</v>
      </c>
      <c r="C39" s="4" t="s">
        <v>35</v>
      </c>
      <c r="D39" s="28">
        <v>9.0</v>
      </c>
      <c r="E39" s="29" t="s">
        <v>106</v>
      </c>
      <c r="F39" s="4" t="s">
        <v>77</v>
      </c>
      <c r="G39" s="6">
        <v>43.0</v>
      </c>
      <c r="H39" s="30" t="str">
        <f>IF(D39=0,0,CANDCALI!$G39)</f>
        <v>  43 </v>
      </c>
      <c r="I39" s="4"/>
      <c r="J39" s="4" t="str">
        <f t="shared" si="3"/>
        <v>9100</v>
      </c>
      <c r="K39" s="24" t="str">
        <f>IF(CANDCALI!$H39&gt;=CANDCALI!$J39,"ELEGIDO","NO ELEGIDO")</f>
        <v>NO ELEGIDO</v>
      </c>
      <c r="L39" s="10"/>
    </row>
    <row r="40" ht="15.75" customHeight="1">
      <c r="A40" s="4" t="str">
        <f t="shared" si="1"/>
        <v>210</v>
      </c>
      <c r="B40" s="4">
        <v>2.0</v>
      </c>
      <c r="C40" s="4" t="s">
        <v>35</v>
      </c>
      <c r="D40" s="28">
        <v>10.0</v>
      </c>
      <c r="E40" s="29" t="s">
        <v>107</v>
      </c>
      <c r="F40" s="4" t="s">
        <v>77</v>
      </c>
      <c r="G40" s="6">
        <v>987.0</v>
      </c>
      <c r="H40" s="30" t="str">
        <f>IF(D40=0,0,CANDCALI!$G40)</f>
        <v>  987 </v>
      </c>
      <c r="I40" s="4"/>
      <c r="J40" s="4" t="str">
        <f t="shared" si="3"/>
        <v>9100</v>
      </c>
      <c r="K40" s="24" t="str">
        <f>IF(CANDCALI!$H40&gt;=CANDCALI!$J40,"ELEGIDO","NO ELEGIDO")</f>
        <v>NO ELEGIDO</v>
      </c>
      <c r="L40" s="10"/>
    </row>
    <row r="41" ht="15.75" customHeight="1">
      <c r="A41" s="4" t="str">
        <f t="shared" si="1"/>
        <v>211</v>
      </c>
      <c r="B41" s="4">
        <v>2.0</v>
      </c>
      <c r="C41" s="4" t="s">
        <v>35</v>
      </c>
      <c r="D41" s="28">
        <v>11.0</v>
      </c>
      <c r="E41" s="29" t="s">
        <v>108</v>
      </c>
      <c r="F41" s="4" t="s">
        <v>77</v>
      </c>
      <c r="G41" s="6">
        <v>1456.0</v>
      </c>
      <c r="H41" s="30" t="str">
        <f>IF(D41=0,0,CANDCALI!$G41)</f>
        <v>  1,456 </v>
      </c>
      <c r="I41" s="4"/>
      <c r="J41" s="4" t="str">
        <f t="shared" si="3"/>
        <v>9100</v>
      </c>
      <c r="K41" s="24" t="str">
        <f>IF(CANDCALI!$H41&gt;=CANDCALI!$J41,"ELEGIDO","NO ELEGIDO")</f>
        <v>NO ELEGIDO</v>
      </c>
      <c r="L41" s="10"/>
    </row>
    <row r="42" ht="15.75" customHeight="1">
      <c r="A42" s="4" t="str">
        <f t="shared" si="1"/>
        <v>212</v>
      </c>
      <c r="B42" s="4">
        <v>2.0</v>
      </c>
      <c r="C42" s="4" t="s">
        <v>35</v>
      </c>
      <c r="D42" s="28">
        <v>12.0</v>
      </c>
      <c r="E42" s="29" t="s">
        <v>109</v>
      </c>
      <c r="F42" s="4" t="s">
        <v>77</v>
      </c>
      <c r="G42" s="6">
        <v>1798.0</v>
      </c>
      <c r="H42" s="30" t="str">
        <f>IF(D42=0,0,CANDCALI!$G42)</f>
        <v>  1,798 </v>
      </c>
      <c r="I42" s="4"/>
      <c r="J42" s="4" t="str">
        <f t="shared" si="3"/>
        <v>9100</v>
      </c>
      <c r="K42" s="24" t="str">
        <f>IF(CANDCALI!$H42&gt;=CANDCALI!$J42,"ELEGIDO","NO ELEGIDO")</f>
        <v>NO ELEGIDO</v>
      </c>
      <c r="L42" s="10"/>
    </row>
    <row r="43" ht="15.75" customHeight="1">
      <c r="A43" s="4" t="str">
        <f t="shared" si="1"/>
        <v>213</v>
      </c>
      <c r="B43" s="4">
        <v>2.0</v>
      </c>
      <c r="C43" s="4" t="s">
        <v>35</v>
      </c>
      <c r="D43" s="28">
        <v>13.0</v>
      </c>
      <c r="E43" s="29" t="s">
        <v>110</v>
      </c>
      <c r="F43" s="4" t="s">
        <v>77</v>
      </c>
      <c r="G43" s="6">
        <v>5236.0</v>
      </c>
      <c r="H43" s="30" t="str">
        <f>IF(D43=0,0,CANDCALI!$G43)</f>
        <v>  5,236 </v>
      </c>
      <c r="I43" s="4"/>
      <c r="J43" s="4" t="str">
        <f t="shared" si="3"/>
        <v>9100</v>
      </c>
      <c r="K43" s="24" t="str">
        <f>IF(CANDCALI!$H43&gt;=CANDCALI!$J43,"ELEGIDO","NO ELEGIDO")</f>
        <v>NO ELEGIDO</v>
      </c>
      <c r="L43" s="10"/>
    </row>
    <row r="44" ht="15.75" customHeight="1">
      <c r="A44" s="4" t="str">
        <f t="shared" si="1"/>
        <v>214</v>
      </c>
      <c r="B44" s="4">
        <v>2.0</v>
      </c>
      <c r="C44" s="4" t="s">
        <v>35</v>
      </c>
      <c r="D44" s="28">
        <v>14.0</v>
      </c>
      <c r="E44" s="29" t="s">
        <v>111</v>
      </c>
      <c r="F44" s="4" t="s">
        <v>77</v>
      </c>
      <c r="G44" s="6">
        <v>98.0</v>
      </c>
      <c r="H44" s="30" t="str">
        <f>IF(D44=0,0,CANDCALI!$G44)</f>
        <v>  98 </v>
      </c>
      <c r="I44" s="4"/>
      <c r="J44" s="4" t="str">
        <f t="shared" si="3"/>
        <v>9100</v>
      </c>
      <c r="K44" s="24" t="str">
        <f>IF(CANDCALI!$H44&gt;=CANDCALI!$J44,"ELEGIDO","NO ELEGIDO")</f>
        <v>NO ELEGIDO</v>
      </c>
      <c r="L44" s="10"/>
    </row>
    <row r="45" ht="15.75" customHeight="1">
      <c r="A45" s="4" t="str">
        <f t="shared" si="1"/>
        <v>215</v>
      </c>
      <c r="B45" s="4">
        <v>2.0</v>
      </c>
      <c r="C45" s="4" t="s">
        <v>35</v>
      </c>
      <c r="D45" s="28">
        <v>15.0</v>
      </c>
      <c r="E45" s="29" t="s">
        <v>112</v>
      </c>
      <c r="F45" s="4" t="s">
        <v>69</v>
      </c>
      <c r="G45" s="6">
        <v>69.0</v>
      </c>
      <c r="H45" s="30" t="str">
        <f>IF(D45=0,0,CANDCALI!$G45)</f>
        <v>  69 </v>
      </c>
      <c r="I45" s="4"/>
      <c r="J45" s="4" t="str">
        <f t="shared" si="3"/>
        <v>9100</v>
      </c>
      <c r="K45" s="24" t="str">
        <f>IF(CANDCALI!$H45&gt;=CANDCALI!$J45,"ELEGIDO","NO ELEGIDO")</f>
        <v>NO ELEGIDO</v>
      </c>
      <c r="L45" s="10"/>
    </row>
    <row r="46" ht="15.75" customHeight="1">
      <c r="A46" s="4" t="str">
        <f t="shared" si="1"/>
        <v>216</v>
      </c>
      <c r="B46" s="4">
        <v>2.0</v>
      </c>
      <c r="C46" s="4" t="s">
        <v>35</v>
      </c>
      <c r="D46" s="28">
        <v>16.0</v>
      </c>
      <c r="E46" s="29" t="s">
        <v>113</v>
      </c>
      <c r="F46" s="4" t="s">
        <v>69</v>
      </c>
      <c r="G46" s="6">
        <v>26.0</v>
      </c>
      <c r="H46" s="30" t="str">
        <f>IF(D46=0,0,CANDCALI!$G46)</f>
        <v>  26 </v>
      </c>
      <c r="I46" s="4"/>
      <c r="J46" s="4" t="str">
        <f t="shared" si="3"/>
        <v>9100</v>
      </c>
      <c r="K46" s="24" t="str">
        <f>IF(CANDCALI!$H46&gt;=CANDCALI!$J46,"ELEGIDO","NO ELEGIDO")</f>
        <v>NO ELEGIDO</v>
      </c>
      <c r="L46" s="10"/>
    </row>
    <row r="47" ht="15.75" customHeight="1">
      <c r="A47" s="4" t="str">
        <f t="shared" si="1"/>
        <v>217</v>
      </c>
      <c r="B47" s="4">
        <v>2.0</v>
      </c>
      <c r="C47" s="4" t="s">
        <v>35</v>
      </c>
      <c r="D47" s="28">
        <v>17.0</v>
      </c>
      <c r="E47" s="29" t="s">
        <v>114</v>
      </c>
      <c r="F47" s="4" t="s">
        <v>69</v>
      </c>
      <c r="G47" s="6">
        <v>14.0</v>
      </c>
      <c r="H47" s="30" t="str">
        <f>IF(D47=0,0,CANDCALI!$G47)</f>
        <v>  14 </v>
      </c>
      <c r="I47" s="4"/>
      <c r="J47" s="4" t="str">
        <f t="shared" si="3"/>
        <v>9100</v>
      </c>
      <c r="K47" s="24" t="str">
        <f>IF(CANDCALI!$H47&gt;=CANDCALI!$J47,"ELEGIDO","NO ELEGIDO")</f>
        <v>NO ELEGIDO</v>
      </c>
      <c r="L47" s="10"/>
    </row>
    <row r="48" ht="15.75" customHeight="1">
      <c r="A48" s="4" t="str">
        <f t="shared" si="1"/>
        <v>218</v>
      </c>
      <c r="B48" s="4">
        <v>2.0</v>
      </c>
      <c r="C48" s="4" t="s">
        <v>35</v>
      </c>
      <c r="D48" s="28">
        <v>18.0</v>
      </c>
      <c r="E48" s="29" t="s">
        <v>115</v>
      </c>
      <c r="F48" s="4" t="s">
        <v>77</v>
      </c>
      <c r="G48" s="6">
        <v>35.0</v>
      </c>
      <c r="H48" s="30" t="str">
        <f>IF(D48=0,0,CANDCALI!$G48)</f>
        <v>  35 </v>
      </c>
      <c r="I48" s="4"/>
      <c r="J48" s="4" t="str">
        <f t="shared" si="3"/>
        <v>9100</v>
      </c>
      <c r="K48" s="24" t="str">
        <f>IF(CANDCALI!$H48&gt;=CANDCALI!$J48,"ELEGIDO","NO ELEGIDO")</f>
        <v>NO ELEGIDO</v>
      </c>
      <c r="L48" s="10"/>
    </row>
    <row r="49" ht="15.75" customHeight="1">
      <c r="A49" s="4" t="str">
        <f t="shared" si="1"/>
        <v>219</v>
      </c>
      <c r="B49" s="4">
        <v>2.0</v>
      </c>
      <c r="C49" s="4" t="s">
        <v>35</v>
      </c>
      <c r="D49" s="28">
        <v>19.0</v>
      </c>
      <c r="E49" s="29" t="s">
        <v>116</v>
      </c>
      <c r="F49" s="4" t="s">
        <v>69</v>
      </c>
      <c r="G49" s="6">
        <v>156.0</v>
      </c>
      <c r="H49" s="30" t="str">
        <f>IF(D49=0,0,CANDCALI!$G49)</f>
        <v>  156 </v>
      </c>
      <c r="I49" s="4"/>
      <c r="J49" s="4" t="str">
        <f t="shared" si="3"/>
        <v>9100</v>
      </c>
      <c r="K49" s="24" t="str">
        <f>IF(CANDCALI!$H49&gt;=CANDCALI!$J49,"ELEGIDO","NO ELEGIDO")</f>
        <v>NO ELEGIDO</v>
      </c>
      <c r="L49" s="10"/>
    </row>
    <row r="50" ht="15.75" customHeight="1">
      <c r="A50" s="4" t="str">
        <f t="shared" si="1"/>
        <v>220</v>
      </c>
      <c r="B50" s="4">
        <v>2.0</v>
      </c>
      <c r="C50" s="4" t="s">
        <v>35</v>
      </c>
      <c r="D50" s="28">
        <v>20.0</v>
      </c>
      <c r="E50" s="29" t="s">
        <v>117</v>
      </c>
      <c r="F50" s="4" t="s">
        <v>77</v>
      </c>
      <c r="G50" s="6">
        <v>11.0</v>
      </c>
      <c r="H50" s="30" t="str">
        <f>IF(D50=0,0,CANDCALI!$G50)</f>
        <v>  11 </v>
      </c>
      <c r="I50" s="4"/>
      <c r="J50" s="4" t="str">
        <f t="shared" si="3"/>
        <v>9100</v>
      </c>
      <c r="K50" s="24" t="str">
        <f>IF(CANDCALI!$H50&gt;=CANDCALI!$J50,"ELEGIDO","NO ELEGIDO")</f>
        <v>NO ELEGIDO</v>
      </c>
      <c r="L50" s="10"/>
    </row>
    <row r="51" ht="15.75" customHeight="1">
      <c r="A51" s="4" t="str">
        <f t="shared" si="1"/>
        <v>221</v>
      </c>
      <c r="B51" s="4">
        <v>2.0</v>
      </c>
      <c r="C51" s="4" t="s">
        <v>35</v>
      </c>
      <c r="D51" s="28">
        <v>21.0</v>
      </c>
      <c r="E51" s="29" t="s">
        <v>118</v>
      </c>
      <c r="F51" s="4" t="s">
        <v>77</v>
      </c>
      <c r="G51" s="6">
        <v>1260.0</v>
      </c>
      <c r="H51" s="30" t="str">
        <f>IF(D51=0,0,CANDCALI!$G51)</f>
        <v>  1,260 </v>
      </c>
      <c r="I51" s="4"/>
      <c r="J51" s="4" t="str">
        <f t="shared" si="3"/>
        <v>9100</v>
      </c>
      <c r="K51" s="24" t="str">
        <f>IF(CANDCALI!$H51&gt;=CANDCALI!$J51,"ELEGIDO","NO ELEGIDO")</f>
        <v>NO ELEGIDO</v>
      </c>
      <c r="L51" s="10"/>
    </row>
    <row r="52" ht="15.75" customHeight="1">
      <c r="A52" s="4" t="str">
        <f t="shared" si="1"/>
        <v>30</v>
      </c>
      <c r="B52" s="4">
        <v>3.0</v>
      </c>
      <c r="C52" s="4" t="s">
        <v>37</v>
      </c>
      <c r="D52" s="31">
        <v>0.0</v>
      </c>
      <c r="E52" s="24" t="s">
        <v>37</v>
      </c>
      <c r="F52" s="4"/>
      <c r="G52" s="11" t="str">
        <f>MOVIMIENTO_MIRA-SUM(G53:G73)</f>
        <v>- 475 </v>
      </c>
      <c r="H52" s="24" t="str">
        <f>IF(D52=0,0,CANDCALI!$G52)</f>
        <v>0</v>
      </c>
      <c r="I52" s="26" t="str">
        <f>CIFCAL!AC4</f>
        <v>1</v>
      </c>
      <c r="J52" s="24" t="str">
        <f>LARGE(H52:H73,CANDCALI!$I52)</f>
        <v>9888</v>
      </c>
      <c r="K52" s="24"/>
      <c r="L52" s="27"/>
      <c r="M52" s="27"/>
      <c r="N52" s="27"/>
      <c r="O52" s="27"/>
      <c r="P52" s="27"/>
      <c r="Q52" s="27"/>
    </row>
    <row r="53" ht="15.75" customHeight="1">
      <c r="A53" s="4" t="str">
        <f t="shared" si="1"/>
        <v>31</v>
      </c>
      <c r="B53" s="4">
        <v>3.0</v>
      </c>
      <c r="C53" s="4" t="s">
        <v>37</v>
      </c>
      <c r="D53" s="28">
        <v>1.0</v>
      </c>
      <c r="E53" s="29" t="s">
        <v>119</v>
      </c>
      <c r="F53" s="4" t="s">
        <v>77</v>
      </c>
      <c r="G53" s="6">
        <v>9888.0</v>
      </c>
      <c r="H53" s="30" t="str">
        <f>IF(D53=0,0,CANDCALI!$G53)</f>
        <v>  9,888 </v>
      </c>
      <c r="I53" s="4"/>
      <c r="J53" s="4" t="str">
        <f t="shared" ref="J53:J73" si="4">J52</f>
        <v>9888</v>
      </c>
      <c r="K53" s="24" t="str">
        <f>IF(CANDCALI!$H53&gt;=CANDCALI!$J53,"ELEGIDO","NO ELEGIDO")</f>
        <v>ELEGIDO</v>
      </c>
      <c r="L53" s="10"/>
    </row>
    <row r="54" ht="15.75" customHeight="1">
      <c r="A54" s="4" t="str">
        <f t="shared" si="1"/>
        <v>32</v>
      </c>
      <c r="B54" s="4">
        <v>3.0</v>
      </c>
      <c r="C54" s="4" t="s">
        <v>37</v>
      </c>
      <c r="D54" s="28">
        <v>2.0</v>
      </c>
      <c r="E54" s="29" t="s">
        <v>120</v>
      </c>
      <c r="F54" s="4" t="s">
        <v>77</v>
      </c>
      <c r="G54" s="6">
        <v>1456.0</v>
      </c>
      <c r="H54" s="30" t="str">
        <f>IF(D54=0,0,CANDCALI!$G54)</f>
        <v>  1,456 </v>
      </c>
      <c r="I54" s="4"/>
      <c r="J54" s="4" t="str">
        <f t="shared" si="4"/>
        <v>9888</v>
      </c>
      <c r="K54" s="24" t="str">
        <f>IF(CANDCALI!$H54&gt;=CANDCALI!$J54,"ELEGIDO","NO ELEGIDO")</f>
        <v>NO ELEGIDO</v>
      </c>
      <c r="L54" s="10"/>
    </row>
    <row r="55" ht="15.75" customHeight="1">
      <c r="A55" s="4" t="str">
        <f t="shared" si="1"/>
        <v>33</v>
      </c>
      <c r="B55" s="4">
        <v>3.0</v>
      </c>
      <c r="C55" s="4" t="s">
        <v>37</v>
      </c>
      <c r="D55" s="28">
        <v>3.0</v>
      </c>
      <c r="E55" s="29" t="s">
        <v>121</v>
      </c>
      <c r="F55" s="4" t="s">
        <v>77</v>
      </c>
      <c r="G55" s="6">
        <v>1598.0</v>
      </c>
      <c r="H55" s="30" t="str">
        <f>IF(D55=0,0,CANDCALI!$G55)</f>
        <v>  1,598 </v>
      </c>
      <c r="I55" s="4"/>
      <c r="J55" s="4" t="str">
        <f t="shared" si="4"/>
        <v>9888</v>
      </c>
      <c r="K55" s="24" t="str">
        <f>IF(CANDCALI!$H55&gt;=CANDCALI!$J55,"ELEGIDO","NO ELEGIDO")</f>
        <v>NO ELEGIDO</v>
      </c>
      <c r="L55" s="10"/>
    </row>
    <row r="56" ht="15.75" customHeight="1">
      <c r="A56" s="4" t="str">
        <f t="shared" si="1"/>
        <v>34</v>
      </c>
      <c r="B56" s="4">
        <v>3.0</v>
      </c>
      <c r="C56" s="4" t="s">
        <v>37</v>
      </c>
      <c r="D56" s="28">
        <v>4.0</v>
      </c>
      <c r="E56" s="29" t="s">
        <v>122</v>
      </c>
      <c r="F56" s="4" t="s">
        <v>69</v>
      </c>
      <c r="G56" s="6">
        <v>11.0</v>
      </c>
      <c r="H56" s="30" t="str">
        <f>IF(D56=0,0,CANDCALI!$G56)</f>
        <v>  11 </v>
      </c>
      <c r="I56" s="4"/>
      <c r="J56" s="4" t="str">
        <f t="shared" si="4"/>
        <v>9888</v>
      </c>
      <c r="K56" s="24" t="str">
        <f>IF(CANDCALI!$H56&gt;=CANDCALI!$J56,"ELEGIDO","NO ELEGIDO")</f>
        <v>NO ELEGIDO</v>
      </c>
      <c r="L56" s="10"/>
    </row>
    <row r="57" ht="15.75" customHeight="1">
      <c r="A57" s="4" t="str">
        <f t="shared" si="1"/>
        <v>35</v>
      </c>
      <c r="B57" s="4">
        <v>3.0</v>
      </c>
      <c r="C57" s="4" t="s">
        <v>37</v>
      </c>
      <c r="D57" s="28">
        <v>5.0</v>
      </c>
      <c r="E57" s="29" t="s">
        <v>123</v>
      </c>
      <c r="F57" s="4" t="s">
        <v>77</v>
      </c>
      <c r="G57" s="6">
        <v>2.0</v>
      </c>
      <c r="H57" s="30" t="str">
        <f>IF(D57=0,0,CANDCALI!$G57)</f>
        <v>  2 </v>
      </c>
      <c r="I57" s="4"/>
      <c r="J57" s="4" t="str">
        <f t="shared" si="4"/>
        <v>9888</v>
      </c>
      <c r="K57" s="24" t="str">
        <f>IF(CANDCALI!$H57&gt;=CANDCALI!$J57,"ELEGIDO","NO ELEGIDO")</f>
        <v>NO ELEGIDO</v>
      </c>
      <c r="L57" s="10"/>
    </row>
    <row r="58" ht="15.75" customHeight="1">
      <c r="A58" s="4" t="str">
        <f t="shared" si="1"/>
        <v>36</v>
      </c>
      <c r="B58" s="4">
        <v>3.0</v>
      </c>
      <c r="C58" s="4" t="s">
        <v>37</v>
      </c>
      <c r="D58" s="28">
        <v>6.0</v>
      </c>
      <c r="E58" s="29" t="s">
        <v>124</v>
      </c>
      <c r="F58" s="4" t="s">
        <v>69</v>
      </c>
      <c r="G58" s="6">
        <v>36.0</v>
      </c>
      <c r="H58" s="30" t="str">
        <f>IF(D58=0,0,CANDCALI!$G58)</f>
        <v>  36 </v>
      </c>
      <c r="I58" s="4"/>
      <c r="J58" s="4" t="str">
        <f t="shared" si="4"/>
        <v>9888</v>
      </c>
      <c r="K58" s="24" t="str">
        <f>IF(CANDCALI!$H58&gt;=CANDCALI!$J58,"ELEGIDO","NO ELEGIDO")</f>
        <v>NO ELEGIDO</v>
      </c>
      <c r="L58" s="10"/>
    </row>
    <row r="59" ht="15.75" customHeight="1">
      <c r="A59" s="4" t="str">
        <f t="shared" si="1"/>
        <v>37</v>
      </c>
      <c r="B59" s="4">
        <v>3.0</v>
      </c>
      <c r="C59" s="4" t="s">
        <v>37</v>
      </c>
      <c r="D59" s="28">
        <v>7.0</v>
      </c>
      <c r="E59" s="29" t="s">
        <v>125</v>
      </c>
      <c r="F59" s="4" t="s">
        <v>77</v>
      </c>
      <c r="G59" s="6">
        <v>14.0</v>
      </c>
      <c r="H59" s="30" t="str">
        <f>IF(D59=0,0,CANDCALI!$G59)</f>
        <v>  14 </v>
      </c>
      <c r="I59" s="4"/>
      <c r="J59" s="4" t="str">
        <f t="shared" si="4"/>
        <v>9888</v>
      </c>
      <c r="K59" s="24" t="str">
        <f>IF(CANDCALI!$H59&gt;=CANDCALI!$J59,"ELEGIDO","NO ELEGIDO")</f>
        <v>NO ELEGIDO</v>
      </c>
      <c r="L59" s="10"/>
    </row>
    <row r="60" ht="15.75" customHeight="1">
      <c r="A60" s="4" t="str">
        <f t="shared" si="1"/>
        <v>38</v>
      </c>
      <c r="B60" s="4">
        <v>3.0</v>
      </c>
      <c r="C60" s="4" t="s">
        <v>37</v>
      </c>
      <c r="D60" s="28">
        <v>8.0</v>
      </c>
      <c r="E60" s="29" t="s">
        <v>126</v>
      </c>
      <c r="F60" s="4" t="s">
        <v>69</v>
      </c>
      <c r="G60" s="6">
        <v>21.0</v>
      </c>
      <c r="H60" s="30" t="str">
        <f>IF(D60=0,0,CANDCALI!$G60)</f>
        <v>  21 </v>
      </c>
      <c r="I60" s="4"/>
      <c r="J60" s="4" t="str">
        <f t="shared" si="4"/>
        <v>9888</v>
      </c>
      <c r="K60" s="24" t="str">
        <f>IF(CANDCALI!$H60&gt;=CANDCALI!$J60,"ELEGIDO","NO ELEGIDO")</f>
        <v>NO ELEGIDO</v>
      </c>
      <c r="L60" s="10"/>
    </row>
    <row r="61" ht="15.75" customHeight="1">
      <c r="A61" s="4" t="str">
        <f t="shared" si="1"/>
        <v>39</v>
      </c>
      <c r="B61" s="4">
        <v>3.0</v>
      </c>
      <c r="C61" s="4" t="s">
        <v>37</v>
      </c>
      <c r="D61" s="28">
        <v>9.0</v>
      </c>
      <c r="E61" s="29" t="s">
        <v>127</v>
      </c>
      <c r="F61" s="4" t="s">
        <v>77</v>
      </c>
      <c r="G61" s="6">
        <v>1256.0</v>
      </c>
      <c r="H61" s="30" t="str">
        <f>IF(D61=0,0,CANDCALI!$G61)</f>
        <v>  1,256 </v>
      </c>
      <c r="I61" s="4"/>
      <c r="J61" s="4" t="str">
        <f t="shared" si="4"/>
        <v>9888</v>
      </c>
      <c r="K61" s="24" t="str">
        <f>IF(CANDCALI!$H61&gt;=CANDCALI!$J61,"ELEGIDO","NO ELEGIDO")</f>
        <v>NO ELEGIDO</v>
      </c>
      <c r="L61" s="10"/>
    </row>
    <row r="62" ht="15.75" customHeight="1">
      <c r="A62" s="4" t="str">
        <f t="shared" si="1"/>
        <v>310</v>
      </c>
      <c r="B62" s="4">
        <v>3.0</v>
      </c>
      <c r="C62" s="4" t="s">
        <v>37</v>
      </c>
      <c r="D62" s="28">
        <v>10.0</v>
      </c>
      <c r="E62" s="29" t="s">
        <v>128</v>
      </c>
      <c r="F62" s="4" t="s">
        <v>69</v>
      </c>
      <c r="G62" s="6">
        <v>320.0</v>
      </c>
      <c r="H62" s="30" t="str">
        <f>IF(D62=0,0,CANDCALI!$G62)</f>
        <v>  320 </v>
      </c>
      <c r="I62" s="4"/>
      <c r="J62" s="4" t="str">
        <f t="shared" si="4"/>
        <v>9888</v>
      </c>
      <c r="K62" s="24" t="str">
        <f>IF(CANDCALI!$H62&gt;=CANDCALI!$J62,"ELEGIDO","NO ELEGIDO")</f>
        <v>NO ELEGIDO</v>
      </c>
      <c r="L62" s="10"/>
    </row>
    <row r="63" ht="15.75" customHeight="1">
      <c r="A63" s="4" t="str">
        <f t="shared" si="1"/>
        <v>311</v>
      </c>
      <c r="B63" s="4">
        <v>3.0</v>
      </c>
      <c r="C63" s="4" t="s">
        <v>37</v>
      </c>
      <c r="D63" s="28">
        <v>11.0</v>
      </c>
      <c r="E63" s="29" t="s">
        <v>129</v>
      </c>
      <c r="F63" s="4" t="s">
        <v>77</v>
      </c>
      <c r="G63" s="6">
        <v>100.0</v>
      </c>
      <c r="H63" s="30" t="str">
        <f>IF(D63=0,0,CANDCALI!$G63)</f>
        <v>  100 </v>
      </c>
      <c r="I63" s="4"/>
      <c r="J63" s="4" t="str">
        <f t="shared" si="4"/>
        <v>9888</v>
      </c>
      <c r="K63" s="24" t="str">
        <f>IF(CANDCALI!$H63&gt;=CANDCALI!$J63,"ELEGIDO","NO ELEGIDO")</f>
        <v>NO ELEGIDO</v>
      </c>
      <c r="L63" s="10"/>
    </row>
    <row r="64" ht="15.75" customHeight="1">
      <c r="A64" s="4" t="str">
        <f t="shared" si="1"/>
        <v>312</v>
      </c>
      <c r="B64" s="4">
        <v>3.0</v>
      </c>
      <c r="C64" s="4" t="s">
        <v>37</v>
      </c>
      <c r="D64" s="28">
        <v>12.0</v>
      </c>
      <c r="E64" s="29" t="s">
        <v>130</v>
      </c>
      <c r="F64" s="4" t="s">
        <v>69</v>
      </c>
      <c r="G64" s="6">
        <v>1100.0</v>
      </c>
      <c r="H64" s="30" t="str">
        <f>IF(D64=0,0,CANDCALI!$G64)</f>
        <v>  1,100 </v>
      </c>
      <c r="I64" s="4"/>
      <c r="J64" s="4" t="str">
        <f t="shared" si="4"/>
        <v>9888</v>
      </c>
      <c r="K64" s="24" t="str">
        <f>IF(CANDCALI!$H64&gt;=CANDCALI!$J64,"ELEGIDO","NO ELEGIDO")</f>
        <v>NO ELEGIDO</v>
      </c>
      <c r="L64" s="10"/>
    </row>
    <row r="65" ht="15.75" customHeight="1">
      <c r="A65" s="4" t="str">
        <f t="shared" si="1"/>
        <v>313</v>
      </c>
      <c r="B65" s="4">
        <v>3.0</v>
      </c>
      <c r="C65" s="4" t="s">
        <v>37</v>
      </c>
      <c r="D65" s="28">
        <v>13.0</v>
      </c>
      <c r="E65" s="29" t="s">
        <v>131</v>
      </c>
      <c r="F65" s="4" t="s">
        <v>69</v>
      </c>
      <c r="G65" s="6">
        <v>2900.0</v>
      </c>
      <c r="H65" s="30" t="str">
        <f>IF(D65=0,0,CANDCALI!$G65)</f>
        <v>  2,900 </v>
      </c>
      <c r="I65" s="4"/>
      <c r="J65" s="4" t="str">
        <f t="shared" si="4"/>
        <v>9888</v>
      </c>
      <c r="K65" s="24" t="str">
        <f>IF(CANDCALI!$H65&gt;=CANDCALI!$J65,"ELEGIDO","NO ELEGIDO")</f>
        <v>NO ELEGIDO</v>
      </c>
      <c r="L65" s="10"/>
    </row>
    <row r="66" ht="15.75" customHeight="1">
      <c r="A66" s="4" t="str">
        <f t="shared" si="1"/>
        <v>314</v>
      </c>
      <c r="B66" s="4">
        <v>3.0</v>
      </c>
      <c r="C66" s="4" t="s">
        <v>37</v>
      </c>
      <c r="D66" s="28">
        <v>14.0</v>
      </c>
      <c r="E66" s="29" t="s">
        <v>132</v>
      </c>
      <c r="F66" s="4" t="s">
        <v>77</v>
      </c>
      <c r="G66" s="6">
        <v>4000.0</v>
      </c>
      <c r="H66" s="30" t="str">
        <f>IF(D66=0,0,CANDCALI!$G66)</f>
        <v>  4,000 </v>
      </c>
      <c r="I66" s="4"/>
      <c r="J66" s="4" t="str">
        <f t="shared" si="4"/>
        <v>9888</v>
      </c>
      <c r="K66" s="24" t="str">
        <f>IF(CANDCALI!$H66&gt;=CANDCALI!$J66,"ELEGIDO","NO ELEGIDO")</f>
        <v>NO ELEGIDO</v>
      </c>
      <c r="L66" s="10"/>
    </row>
    <row r="67" ht="15.75" customHeight="1">
      <c r="A67" s="4" t="str">
        <f t="shared" si="1"/>
        <v>315</v>
      </c>
      <c r="B67" s="4">
        <v>3.0</v>
      </c>
      <c r="C67" s="4" t="s">
        <v>37</v>
      </c>
      <c r="D67" s="28">
        <v>15.0</v>
      </c>
      <c r="E67" s="29" t="s">
        <v>133</v>
      </c>
      <c r="F67" s="4" t="s">
        <v>77</v>
      </c>
      <c r="G67" s="6">
        <v>3.0</v>
      </c>
      <c r="H67" s="30" t="str">
        <f>IF(D67=0,0,CANDCALI!$G67)</f>
        <v>  3 </v>
      </c>
      <c r="I67" s="4"/>
      <c r="J67" s="4" t="str">
        <f t="shared" si="4"/>
        <v>9888</v>
      </c>
      <c r="K67" s="24" t="str">
        <f>IF(CANDCALI!$H67&gt;=CANDCALI!$J67,"ELEGIDO","NO ELEGIDO")</f>
        <v>NO ELEGIDO</v>
      </c>
      <c r="L67" s="10"/>
    </row>
    <row r="68" ht="15.75" customHeight="1">
      <c r="A68" s="4" t="str">
        <f t="shared" si="1"/>
        <v>316</v>
      </c>
      <c r="B68" s="4">
        <v>3.0</v>
      </c>
      <c r="C68" s="4" t="s">
        <v>37</v>
      </c>
      <c r="D68" s="28">
        <v>16.0</v>
      </c>
      <c r="E68" s="29" t="s">
        <v>134</v>
      </c>
      <c r="F68" s="4" t="s">
        <v>77</v>
      </c>
      <c r="G68" s="6">
        <v>7.0</v>
      </c>
      <c r="H68" s="30" t="str">
        <f>IF(D68=0,0,CANDCALI!$G68)</f>
        <v>  7 </v>
      </c>
      <c r="I68" s="4"/>
      <c r="J68" s="4" t="str">
        <f t="shared" si="4"/>
        <v>9888</v>
      </c>
      <c r="K68" s="24" t="str">
        <f>IF(CANDCALI!$H68&gt;=CANDCALI!$J68,"ELEGIDO","NO ELEGIDO")</f>
        <v>NO ELEGIDO</v>
      </c>
      <c r="L68" s="10"/>
    </row>
    <row r="69" ht="15.75" customHeight="1">
      <c r="A69" s="4" t="str">
        <f t="shared" si="1"/>
        <v>317</v>
      </c>
      <c r="B69" s="4">
        <v>3.0</v>
      </c>
      <c r="C69" s="4" t="s">
        <v>37</v>
      </c>
      <c r="D69" s="28">
        <v>17.0</v>
      </c>
      <c r="E69" s="29" t="s">
        <v>135</v>
      </c>
      <c r="F69" s="4" t="s">
        <v>69</v>
      </c>
      <c r="G69" s="6">
        <v>25.0</v>
      </c>
      <c r="H69" s="30" t="str">
        <f>IF(D69=0,0,CANDCALI!$G69)</f>
        <v>  25 </v>
      </c>
      <c r="I69" s="4"/>
      <c r="J69" s="4" t="str">
        <f t="shared" si="4"/>
        <v>9888</v>
      </c>
      <c r="K69" s="24" t="str">
        <f>IF(CANDCALI!$H69&gt;=CANDCALI!$J69,"ELEGIDO","NO ELEGIDO")</f>
        <v>NO ELEGIDO</v>
      </c>
      <c r="L69" s="10"/>
    </row>
    <row r="70" ht="15.75" customHeight="1">
      <c r="A70" s="4" t="str">
        <f t="shared" si="1"/>
        <v>318</v>
      </c>
      <c r="B70" s="4">
        <v>3.0</v>
      </c>
      <c r="C70" s="4" t="s">
        <v>37</v>
      </c>
      <c r="D70" s="28">
        <v>18.0</v>
      </c>
      <c r="E70" s="29" t="s">
        <v>136</v>
      </c>
      <c r="F70" s="4" t="s">
        <v>77</v>
      </c>
      <c r="G70" s="6">
        <v>44.0</v>
      </c>
      <c r="H70" s="30" t="str">
        <f>IF(D70=0,0,CANDCALI!$G70)</f>
        <v>  44 </v>
      </c>
      <c r="I70" s="4"/>
      <c r="J70" s="4" t="str">
        <f t="shared" si="4"/>
        <v>9888</v>
      </c>
      <c r="K70" s="24" t="str">
        <f>IF(CANDCALI!$H70&gt;=CANDCALI!$J70,"ELEGIDO","NO ELEGIDO")</f>
        <v>NO ELEGIDO</v>
      </c>
      <c r="L70" s="10"/>
    </row>
    <row r="71" ht="15.75" customHeight="1">
      <c r="A71" s="4" t="str">
        <f t="shared" si="1"/>
        <v>319</v>
      </c>
      <c r="B71" s="4">
        <v>3.0</v>
      </c>
      <c r="C71" s="4" t="s">
        <v>37</v>
      </c>
      <c r="D71" s="28">
        <v>19.0</v>
      </c>
      <c r="E71" s="29" t="s">
        <v>137</v>
      </c>
      <c r="F71" s="4" t="s">
        <v>69</v>
      </c>
      <c r="G71" s="6">
        <v>99.0</v>
      </c>
      <c r="H71" s="30" t="str">
        <f>IF(D71=0,0,CANDCALI!$G71)</f>
        <v>  99 </v>
      </c>
      <c r="I71" s="4"/>
      <c r="J71" s="4" t="str">
        <f t="shared" si="4"/>
        <v>9888</v>
      </c>
      <c r="K71" s="24" t="str">
        <f>IF(CANDCALI!$H71&gt;=CANDCALI!$J71,"ELEGIDO","NO ELEGIDO")</f>
        <v>NO ELEGIDO</v>
      </c>
      <c r="L71" s="10"/>
    </row>
    <row r="72" ht="15.75" customHeight="1">
      <c r="A72" s="4" t="str">
        <f t="shared" si="1"/>
        <v>320</v>
      </c>
      <c r="B72" s="4">
        <v>3.0</v>
      </c>
      <c r="C72" s="4" t="s">
        <v>37</v>
      </c>
      <c r="D72" s="28">
        <v>20.0</v>
      </c>
      <c r="E72" s="29" t="s">
        <v>138</v>
      </c>
      <c r="F72" s="4" t="s">
        <v>69</v>
      </c>
      <c r="G72" s="6">
        <v>822.0</v>
      </c>
      <c r="H72" s="30" t="str">
        <f>IF(D72=0,0,CANDCALI!$G72)</f>
        <v>  822 </v>
      </c>
      <c r="I72" s="4"/>
      <c r="J72" s="4" t="str">
        <f t="shared" si="4"/>
        <v>9888</v>
      </c>
      <c r="K72" s="24" t="str">
        <f>IF(CANDCALI!$H72&gt;=CANDCALI!$J72,"ELEGIDO","NO ELEGIDO")</f>
        <v>NO ELEGIDO</v>
      </c>
      <c r="L72" s="10"/>
    </row>
    <row r="73" ht="15.75" customHeight="1">
      <c r="A73" s="4" t="str">
        <f t="shared" si="1"/>
        <v>321</v>
      </c>
      <c r="B73" s="4">
        <v>3.0</v>
      </c>
      <c r="C73" s="4" t="s">
        <v>37</v>
      </c>
      <c r="D73" s="28">
        <v>21.0</v>
      </c>
      <c r="E73" s="29" t="s">
        <v>139</v>
      </c>
      <c r="F73" s="4" t="s">
        <v>77</v>
      </c>
      <c r="G73" s="6">
        <v>1000.0</v>
      </c>
      <c r="H73" s="30" t="str">
        <f>IF(D73=0,0,CANDCALI!$G73)</f>
        <v>  1,000 </v>
      </c>
      <c r="I73" s="4"/>
      <c r="J73" s="4" t="str">
        <f t="shared" si="4"/>
        <v>9888</v>
      </c>
      <c r="K73" s="24" t="str">
        <f>IF(CANDCALI!$H73&gt;=CANDCALI!$J73,"ELEGIDO","NO ELEGIDO")</f>
        <v>NO ELEGIDO</v>
      </c>
      <c r="L73" s="10"/>
    </row>
    <row r="74" ht="15.75" customHeight="1">
      <c r="A74" s="4" t="str">
        <f t="shared" si="1"/>
        <v>40</v>
      </c>
      <c r="B74" s="4">
        <v>4.0</v>
      </c>
      <c r="C74" s="4" t="s">
        <v>39</v>
      </c>
      <c r="D74" s="31">
        <v>0.0</v>
      </c>
      <c r="E74" s="24" t="s">
        <v>39</v>
      </c>
      <c r="F74" s="4"/>
      <c r="G74" s="11" t="str">
        <f>PARTIDO_LIBERAL_COLOMBIANO-SUM(G75:G95)</f>
        <v>  64,023 </v>
      </c>
      <c r="H74" s="24" t="str">
        <f>IF(D74=0,0,CANDCALI!$G74)</f>
        <v>0</v>
      </c>
      <c r="I74" s="26" t="str">
        <f>CIFCAL!AC5</f>
        <v>5</v>
      </c>
      <c r="J74" s="24" t="str">
        <f>LARGE(H74:H95,CANDCALI!$I74)</f>
        <v>2690</v>
      </c>
      <c r="K74" s="24"/>
      <c r="L74" s="27"/>
      <c r="M74" s="27"/>
      <c r="N74" s="27"/>
      <c r="O74" s="27"/>
      <c r="P74" s="27"/>
      <c r="Q74" s="27"/>
    </row>
    <row r="75" ht="15.75" customHeight="1">
      <c r="A75" s="4" t="str">
        <f t="shared" si="1"/>
        <v>41</v>
      </c>
      <c r="B75" s="4">
        <v>4.0</v>
      </c>
      <c r="C75" s="4" t="s">
        <v>39</v>
      </c>
      <c r="D75" s="28">
        <v>1.0</v>
      </c>
      <c r="E75" s="29" t="s">
        <v>140</v>
      </c>
      <c r="F75" s="4" t="s">
        <v>69</v>
      </c>
      <c r="G75" s="6">
        <v>12500.0</v>
      </c>
      <c r="H75" s="30" t="str">
        <f>IF(D75=0,0,CANDCALI!$G75)</f>
        <v>  12,500 </v>
      </c>
      <c r="I75" s="4"/>
      <c r="J75" s="4" t="str">
        <f t="shared" ref="J75:J95" si="5">J74</f>
        <v>2690</v>
      </c>
      <c r="K75" s="24" t="str">
        <f>IF(CANDCALI!$H75&gt;=CANDCALI!$J75,"ELEGIDO","NO ELEGIDO")</f>
        <v>ELEGIDO</v>
      </c>
      <c r="L75" s="10"/>
    </row>
    <row r="76" ht="15.75" customHeight="1">
      <c r="A76" s="4" t="str">
        <f t="shared" si="1"/>
        <v>42</v>
      </c>
      <c r="B76" s="4">
        <v>4.0</v>
      </c>
      <c r="C76" s="4" t="s">
        <v>39</v>
      </c>
      <c r="D76" s="28">
        <v>2.0</v>
      </c>
      <c r="E76" s="29" t="s">
        <v>141</v>
      </c>
      <c r="F76" s="4" t="s">
        <v>77</v>
      </c>
      <c r="G76" s="6">
        <v>2690.0</v>
      </c>
      <c r="H76" s="30" t="str">
        <f>IF(D76=0,0,CANDCALI!$G76)</f>
        <v>  2,690 </v>
      </c>
      <c r="I76" s="4"/>
      <c r="J76" s="4" t="str">
        <f t="shared" si="5"/>
        <v>2690</v>
      </c>
      <c r="K76" s="24" t="str">
        <f>IF(CANDCALI!$H76&gt;=CANDCALI!$J76,"ELEGIDO","NO ELEGIDO")</f>
        <v>ELEGIDO</v>
      </c>
      <c r="L76" s="10"/>
    </row>
    <row r="77" ht="15.75" customHeight="1">
      <c r="A77" s="4" t="str">
        <f t="shared" si="1"/>
        <v>43</v>
      </c>
      <c r="B77" s="4">
        <v>4.0</v>
      </c>
      <c r="C77" s="4" t="s">
        <v>39</v>
      </c>
      <c r="D77" s="28">
        <v>3.0</v>
      </c>
      <c r="E77" s="29" t="s">
        <v>142</v>
      </c>
      <c r="F77" s="4" t="s">
        <v>77</v>
      </c>
      <c r="G77" s="6">
        <v>1369.0</v>
      </c>
      <c r="H77" s="30" t="str">
        <f>IF(D77=0,0,CANDCALI!$G77)</f>
        <v>  1,369 </v>
      </c>
      <c r="I77" s="4"/>
      <c r="J77" s="4" t="str">
        <f t="shared" si="5"/>
        <v>2690</v>
      </c>
      <c r="K77" s="24" t="str">
        <f>IF(CANDCALI!$H77&gt;=CANDCALI!$J77,"ELEGIDO","NO ELEGIDO")</f>
        <v>NO ELEGIDO</v>
      </c>
      <c r="L77" s="10"/>
    </row>
    <row r="78" ht="15.75" customHeight="1">
      <c r="A78" s="4" t="str">
        <f t="shared" si="1"/>
        <v>44</v>
      </c>
      <c r="B78" s="4">
        <v>4.0</v>
      </c>
      <c r="C78" s="4" t="s">
        <v>39</v>
      </c>
      <c r="D78" s="28">
        <v>4.0</v>
      </c>
      <c r="E78" s="29" t="s">
        <v>143</v>
      </c>
      <c r="F78" s="4" t="s">
        <v>77</v>
      </c>
      <c r="G78" s="6">
        <v>5988.0</v>
      </c>
      <c r="H78" s="30" t="str">
        <f>IF(D78=0,0,CANDCALI!$G78)</f>
        <v>  5,988 </v>
      </c>
      <c r="I78" s="4"/>
      <c r="J78" s="4" t="str">
        <f t="shared" si="5"/>
        <v>2690</v>
      </c>
      <c r="K78" s="24" t="str">
        <f>IF(CANDCALI!$H78&gt;=CANDCALI!$J78,"ELEGIDO","NO ELEGIDO")</f>
        <v>ELEGIDO</v>
      </c>
      <c r="L78" s="10"/>
    </row>
    <row r="79" ht="15.75" customHeight="1">
      <c r="A79" s="4" t="str">
        <f t="shared" si="1"/>
        <v>45</v>
      </c>
      <c r="B79" s="4">
        <v>4.0</v>
      </c>
      <c r="C79" s="4" t="s">
        <v>39</v>
      </c>
      <c r="D79" s="28">
        <v>5.0</v>
      </c>
      <c r="E79" s="29" t="s">
        <v>144</v>
      </c>
      <c r="F79" s="4" t="s">
        <v>77</v>
      </c>
      <c r="G79" s="6">
        <v>12456.0</v>
      </c>
      <c r="H79" s="30" t="str">
        <f>IF(D79=0,0,CANDCALI!$G79)</f>
        <v>  12,456 </v>
      </c>
      <c r="I79" s="4"/>
      <c r="J79" s="4" t="str">
        <f t="shared" si="5"/>
        <v>2690</v>
      </c>
      <c r="K79" s="24" t="str">
        <f>IF(CANDCALI!$H79&gt;=CANDCALI!$J79,"ELEGIDO","NO ELEGIDO")</f>
        <v>ELEGIDO</v>
      </c>
      <c r="L79" s="10"/>
    </row>
    <row r="80" ht="15.75" customHeight="1">
      <c r="A80" s="4" t="str">
        <f t="shared" si="1"/>
        <v>46</v>
      </c>
      <c r="B80" s="4">
        <v>4.0</v>
      </c>
      <c r="C80" s="4" t="s">
        <v>39</v>
      </c>
      <c r="D80" s="28">
        <v>6.0</v>
      </c>
      <c r="E80" s="29" t="s">
        <v>145</v>
      </c>
      <c r="F80" s="4" t="s">
        <v>69</v>
      </c>
      <c r="G80" s="6">
        <v>98.0</v>
      </c>
      <c r="H80" s="30" t="str">
        <f>IF(D80=0,0,CANDCALI!$G80)</f>
        <v>  98 </v>
      </c>
      <c r="I80" s="4"/>
      <c r="J80" s="4" t="str">
        <f t="shared" si="5"/>
        <v>2690</v>
      </c>
      <c r="K80" s="24" t="str">
        <f>IF(CANDCALI!$H80&gt;=CANDCALI!$J80,"ELEGIDO","NO ELEGIDO")</f>
        <v>NO ELEGIDO</v>
      </c>
      <c r="L80" s="10"/>
    </row>
    <row r="81" ht="15.75" customHeight="1">
      <c r="A81" s="4" t="str">
        <f t="shared" si="1"/>
        <v>47</v>
      </c>
      <c r="B81" s="4">
        <v>4.0</v>
      </c>
      <c r="C81" s="4" t="s">
        <v>39</v>
      </c>
      <c r="D81" s="28">
        <v>7.0</v>
      </c>
      <c r="E81" s="29" t="s">
        <v>146</v>
      </c>
      <c r="F81" s="4" t="s">
        <v>77</v>
      </c>
      <c r="G81" s="6">
        <v>156.0</v>
      </c>
      <c r="H81" s="30" t="str">
        <f>IF(D81=0,0,CANDCALI!$G81)</f>
        <v>  156 </v>
      </c>
      <c r="I81" s="4"/>
      <c r="J81" s="4" t="str">
        <f t="shared" si="5"/>
        <v>2690</v>
      </c>
      <c r="K81" s="24" t="str">
        <f>IF(CANDCALI!$H81&gt;=CANDCALI!$J81,"ELEGIDO","NO ELEGIDO")</f>
        <v>NO ELEGIDO</v>
      </c>
      <c r="L81" s="10"/>
    </row>
    <row r="82" ht="15.75" customHeight="1">
      <c r="A82" s="4" t="str">
        <f t="shared" si="1"/>
        <v>48</v>
      </c>
      <c r="B82" s="4">
        <v>4.0</v>
      </c>
      <c r="C82" s="4" t="s">
        <v>39</v>
      </c>
      <c r="D82" s="28">
        <v>8.0</v>
      </c>
      <c r="E82" s="29" t="s">
        <v>147</v>
      </c>
      <c r="F82" s="4" t="s">
        <v>77</v>
      </c>
      <c r="G82" s="6">
        <v>145.0</v>
      </c>
      <c r="H82" s="30" t="str">
        <f>IF(D82=0,0,CANDCALI!$G82)</f>
        <v>  145 </v>
      </c>
      <c r="I82" s="4"/>
      <c r="J82" s="4" t="str">
        <f t="shared" si="5"/>
        <v>2690</v>
      </c>
      <c r="K82" s="24" t="str">
        <f>IF(CANDCALI!$H82&gt;=CANDCALI!$J82,"ELEGIDO","NO ELEGIDO")</f>
        <v>NO ELEGIDO</v>
      </c>
      <c r="L82" s="10"/>
    </row>
    <row r="83" ht="15.75" customHeight="1">
      <c r="A83" s="4" t="str">
        <f t="shared" si="1"/>
        <v>49</v>
      </c>
      <c r="B83" s="4">
        <v>4.0</v>
      </c>
      <c r="C83" s="4" t="s">
        <v>39</v>
      </c>
      <c r="D83" s="28">
        <v>9.0</v>
      </c>
      <c r="E83" s="29" t="s">
        <v>148</v>
      </c>
      <c r="F83" s="4" t="s">
        <v>69</v>
      </c>
      <c r="G83" s="6">
        <v>693.0</v>
      </c>
      <c r="H83" s="30" t="str">
        <f>IF(D83=0,0,CANDCALI!$G83)</f>
        <v>  693 </v>
      </c>
      <c r="I83" s="4"/>
      <c r="J83" s="4" t="str">
        <f t="shared" si="5"/>
        <v>2690</v>
      </c>
      <c r="K83" s="24" t="str">
        <f>IF(CANDCALI!$H83&gt;=CANDCALI!$J83,"ELEGIDO","NO ELEGIDO")</f>
        <v>NO ELEGIDO</v>
      </c>
      <c r="L83" s="10"/>
    </row>
    <row r="84" ht="15.75" customHeight="1">
      <c r="A84" s="4" t="str">
        <f t="shared" si="1"/>
        <v>410</v>
      </c>
      <c r="B84" s="4">
        <v>4.0</v>
      </c>
      <c r="C84" s="4" t="s">
        <v>39</v>
      </c>
      <c r="D84" s="28">
        <v>10.0</v>
      </c>
      <c r="E84" s="29" t="s">
        <v>149</v>
      </c>
      <c r="F84" s="4" t="s">
        <v>77</v>
      </c>
      <c r="G84" s="6">
        <v>55.0</v>
      </c>
      <c r="H84" s="30" t="str">
        <f>IF(D84=0,0,CANDCALI!$G84)</f>
        <v>  55 </v>
      </c>
      <c r="I84" s="4"/>
      <c r="J84" s="4" t="str">
        <f t="shared" si="5"/>
        <v>2690</v>
      </c>
      <c r="K84" s="24" t="str">
        <f>IF(CANDCALI!$H84&gt;=CANDCALI!$J84,"ELEGIDO","NO ELEGIDO")</f>
        <v>NO ELEGIDO</v>
      </c>
      <c r="L84" s="10"/>
    </row>
    <row r="85" ht="15.75" customHeight="1">
      <c r="A85" s="4" t="str">
        <f t="shared" si="1"/>
        <v>411</v>
      </c>
      <c r="B85" s="4">
        <v>4.0</v>
      </c>
      <c r="C85" s="4" t="s">
        <v>39</v>
      </c>
      <c r="D85" s="28">
        <v>11.0</v>
      </c>
      <c r="E85" s="29" t="s">
        <v>150</v>
      </c>
      <c r="F85" s="4" t="s">
        <v>69</v>
      </c>
      <c r="G85" s="6">
        <v>989.0</v>
      </c>
      <c r="H85" s="30" t="str">
        <f>IF(D85=0,0,CANDCALI!$G85)</f>
        <v>  989 </v>
      </c>
      <c r="I85" s="4"/>
      <c r="J85" s="4" t="str">
        <f t="shared" si="5"/>
        <v>2690</v>
      </c>
      <c r="K85" s="24" t="str">
        <f>IF(CANDCALI!$H85&gt;=CANDCALI!$J85,"ELEGIDO","NO ELEGIDO")</f>
        <v>NO ELEGIDO</v>
      </c>
      <c r="L85" s="10"/>
    </row>
    <row r="86" ht="15.75" customHeight="1">
      <c r="A86" s="4" t="str">
        <f t="shared" si="1"/>
        <v>412</v>
      </c>
      <c r="B86" s="4">
        <v>4.0</v>
      </c>
      <c r="C86" s="4" t="s">
        <v>39</v>
      </c>
      <c r="D86" s="28">
        <v>12.0</v>
      </c>
      <c r="E86" s="29" t="s">
        <v>151</v>
      </c>
      <c r="F86" s="4" t="s">
        <v>69</v>
      </c>
      <c r="G86" s="6">
        <v>598.0</v>
      </c>
      <c r="H86" s="30" t="str">
        <f>IF(D86=0,0,CANDCALI!$G86)</f>
        <v>  598 </v>
      </c>
      <c r="I86" s="4"/>
      <c r="J86" s="4" t="str">
        <f t="shared" si="5"/>
        <v>2690</v>
      </c>
      <c r="K86" s="24" t="str">
        <f>IF(CANDCALI!$H86&gt;=CANDCALI!$J86,"ELEGIDO","NO ELEGIDO")</f>
        <v>NO ELEGIDO</v>
      </c>
      <c r="L86" s="10"/>
    </row>
    <row r="87" ht="15.75" customHeight="1">
      <c r="A87" s="4" t="str">
        <f t="shared" si="1"/>
        <v>413</v>
      </c>
      <c r="B87" s="4">
        <v>4.0</v>
      </c>
      <c r="C87" s="4" t="s">
        <v>39</v>
      </c>
      <c r="D87" s="28">
        <v>13.0</v>
      </c>
      <c r="E87" s="29" t="s">
        <v>152</v>
      </c>
      <c r="F87" s="4" t="s">
        <v>69</v>
      </c>
      <c r="G87" s="6">
        <v>100.0</v>
      </c>
      <c r="H87" s="30" t="str">
        <f>IF(D87=0,0,CANDCALI!$G87)</f>
        <v>  100 </v>
      </c>
      <c r="I87" s="4"/>
      <c r="J87" s="4" t="str">
        <f t="shared" si="5"/>
        <v>2690</v>
      </c>
      <c r="K87" s="24" t="str">
        <f>IF(CANDCALI!$H87&gt;=CANDCALI!$J87,"ELEGIDO","NO ELEGIDO")</f>
        <v>NO ELEGIDO</v>
      </c>
      <c r="L87" s="10"/>
    </row>
    <row r="88" ht="15.75" customHeight="1">
      <c r="A88" s="4" t="str">
        <f t="shared" si="1"/>
        <v>414</v>
      </c>
      <c r="B88" s="4">
        <v>4.0</v>
      </c>
      <c r="C88" s="4" t="s">
        <v>39</v>
      </c>
      <c r="D88" s="28">
        <v>14.0</v>
      </c>
      <c r="E88" s="29" t="s">
        <v>153</v>
      </c>
      <c r="F88" s="4" t="s">
        <v>77</v>
      </c>
      <c r="G88" s="6">
        <v>900.0</v>
      </c>
      <c r="H88" s="30" t="str">
        <f>IF(D88=0,0,CANDCALI!$G88)</f>
        <v>  900 </v>
      </c>
      <c r="I88" s="4"/>
      <c r="J88" s="4" t="str">
        <f t="shared" si="5"/>
        <v>2690</v>
      </c>
      <c r="K88" s="24" t="str">
        <f>IF(CANDCALI!$H88&gt;=CANDCALI!$J88,"ELEGIDO","NO ELEGIDO")</f>
        <v>NO ELEGIDO</v>
      </c>
      <c r="L88" s="10"/>
    </row>
    <row r="89" ht="15.75" customHeight="1">
      <c r="A89" s="4" t="str">
        <f t="shared" si="1"/>
        <v>415</v>
      </c>
      <c r="B89" s="4">
        <v>4.0</v>
      </c>
      <c r="C89" s="4" t="s">
        <v>39</v>
      </c>
      <c r="D89" s="28">
        <v>15.0</v>
      </c>
      <c r="E89" s="29" t="s">
        <v>154</v>
      </c>
      <c r="F89" s="4" t="s">
        <v>77</v>
      </c>
      <c r="G89" s="6">
        <v>1366.0</v>
      </c>
      <c r="H89" s="30" t="str">
        <f>IF(D89=0,0,CANDCALI!$G89)</f>
        <v>  1,366 </v>
      </c>
      <c r="I89" s="4"/>
      <c r="J89" s="4" t="str">
        <f t="shared" si="5"/>
        <v>2690</v>
      </c>
      <c r="K89" s="24" t="str">
        <f>IF(CANDCALI!$H89&gt;=CANDCALI!$J89,"ELEGIDO","NO ELEGIDO")</f>
        <v>NO ELEGIDO</v>
      </c>
      <c r="L89" s="10"/>
    </row>
    <row r="90" ht="15.75" customHeight="1">
      <c r="A90" s="4" t="str">
        <f t="shared" si="1"/>
        <v>416</v>
      </c>
      <c r="B90" s="4">
        <v>4.0</v>
      </c>
      <c r="C90" s="4" t="s">
        <v>39</v>
      </c>
      <c r="D90" s="28">
        <v>16.0</v>
      </c>
      <c r="E90" s="29" t="s">
        <v>155</v>
      </c>
      <c r="F90" s="4" t="s">
        <v>69</v>
      </c>
      <c r="G90" s="6">
        <v>644.0</v>
      </c>
      <c r="H90" s="30" t="str">
        <f>IF(D90=0,0,CANDCALI!$G90)</f>
        <v>  644 </v>
      </c>
      <c r="I90" s="4"/>
      <c r="J90" s="4" t="str">
        <f t="shared" si="5"/>
        <v>2690</v>
      </c>
      <c r="K90" s="24" t="str">
        <f>IF(CANDCALI!$H90&gt;=CANDCALI!$J90,"ELEGIDO","NO ELEGIDO")</f>
        <v>NO ELEGIDO</v>
      </c>
      <c r="L90" s="10"/>
    </row>
    <row r="91" ht="15.75" customHeight="1">
      <c r="A91" s="4" t="str">
        <f t="shared" si="1"/>
        <v>417</v>
      </c>
      <c r="B91" s="4">
        <v>4.0</v>
      </c>
      <c r="C91" s="4" t="s">
        <v>39</v>
      </c>
      <c r="D91" s="28">
        <v>17.0</v>
      </c>
      <c r="E91" s="29" t="s">
        <v>156</v>
      </c>
      <c r="F91" s="4" t="s">
        <v>77</v>
      </c>
      <c r="G91" s="6">
        <v>10.0</v>
      </c>
      <c r="H91" s="30" t="str">
        <f>IF(D91=0,0,CANDCALI!$G91)</f>
        <v>  10 </v>
      </c>
      <c r="I91" s="4"/>
      <c r="J91" s="4" t="str">
        <f t="shared" si="5"/>
        <v>2690</v>
      </c>
      <c r="K91" s="24" t="str">
        <f>IF(CANDCALI!$H91&gt;=CANDCALI!$J91,"ELEGIDO","NO ELEGIDO")</f>
        <v>NO ELEGIDO</v>
      </c>
      <c r="L91" s="10"/>
    </row>
    <row r="92" ht="15.75" customHeight="1">
      <c r="A92" s="4" t="str">
        <f t="shared" si="1"/>
        <v>418</v>
      </c>
      <c r="B92" s="4">
        <v>4.0</v>
      </c>
      <c r="C92" s="4" t="s">
        <v>39</v>
      </c>
      <c r="D92" s="28">
        <v>18.0</v>
      </c>
      <c r="E92" s="29" t="s">
        <v>157</v>
      </c>
      <c r="F92" s="4" t="s">
        <v>77</v>
      </c>
      <c r="G92" s="6">
        <v>90.0</v>
      </c>
      <c r="H92" s="30" t="str">
        <f>IF(D92=0,0,CANDCALI!$G92)</f>
        <v>  90 </v>
      </c>
      <c r="I92" s="4"/>
      <c r="J92" s="4" t="str">
        <f t="shared" si="5"/>
        <v>2690</v>
      </c>
      <c r="K92" s="24" t="str">
        <f>IF(CANDCALI!$H92&gt;=CANDCALI!$J92,"ELEGIDO","NO ELEGIDO")</f>
        <v>NO ELEGIDO</v>
      </c>
      <c r="L92" s="10"/>
    </row>
    <row r="93" ht="15.75" customHeight="1">
      <c r="A93" s="4" t="str">
        <f t="shared" si="1"/>
        <v>419</v>
      </c>
      <c r="B93" s="4">
        <v>4.0</v>
      </c>
      <c r="C93" s="4" t="s">
        <v>39</v>
      </c>
      <c r="D93" s="28">
        <v>19.0</v>
      </c>
      <c r="E93" s="29" t="s">
        <v>158</v>
      </c>
      <c r="F93" s="4" t="s">
        <v>77</v>
      </c>
      <c r="G93" s="6">
        <v>789.0</v>
      </c>
      <c r="H93" s="30" t="str">
        <f>IF(D93=0,0,CANDCALI!$G93)</f>
        <v>  789 </v>
      </c>
      <c r="I93" s="4"/>
      <c r="J93" s="4" t="str">
        <f t="shared" si="5"/>
        <v>2690</v>
      </c>
      <c r="K93" s="24" t="str">
        <f>IF(CANDCALI!$H93&gt;=CANDCALI!$J93,"ELEGIDO","NO ELEGIDO")</f>
        <v>NO ELEGIDO</v>
      </c>
      <c r="L93" s="10"/>
    </row>
    <row r="94" ht="15.75" customHeight="1">
      <c r="A94" s="4" t="str">
        <f t="shared" si="1"/>
        <v>420</v>
      </c>
      <c r="B94" s="4">
        <v>4.0</v>
      </c>
      <c r="C94" s="4" t="s">
        <v>39</v>
      </c>
      <c r="D94" s="28">
        <v>20.0</v>
      </c>
      <c r="E94" s="29" t="s">
        <v>159</v>
      </c>
      <c r="F94" s="4" t="s">
        <v>77</v>
      </c>
      <c r="G94" s="6">
        <v>101.0</v>
      </c>
      <c r="H94" s="30" t="str">
        <f>IF(D94=0,0,CANDCALI!$G94)</f>
        <v>  101 </v>
      </c>
      <c r="I94" s="4"/>
      <c r="J94" s="4" t="str">
        <f t="shared" si="5"/>
        <v>2690</v>
      </c>
      <c r="K94" s="24" t="str">
        <f>IF(CANDCALI!$H94&gt;=CANDCALI!$J94,"ELEGIDO","NO ELEGIDO")</f>
        <v>NO ELEGIDO</v>
      </c>
      <c r="L94" s="10"/>
    </row>
    <row r="95" ht="15.75" customHeight="1">
      <c r="A95" s="4" t="str">
        <f t="shared" si="1"/>
        <v>421</v>
      </c>
      <c r="B95" s="4">
        <v>4.0</v>
      </c>
      <c r="C95" s="4" t="s">
        <v>39</v>
      </c>
      <c r="D95" s="28">
        <v>21.0</v>
      </c>
      <c r="E95" s="29" t="s">
        <v>160</v>
      </c>
      <c r="F95" s="4" t="s">
        <v>77</v>
      </c>
      <c r="G95" s="6">
        <v>6000.0</v>
      </c>
      <c r="H95" s="30" t="str">
        <f>IF(D95=0,0,CANDCALI!$G95)</f>
        <v>  6,000 </v>
      </c>
      <c r="I95" s="4"/>
      <c r="J95" s="4" t="str">
        <f t="shared" si="5"/>
        <v>2690</v>
      </c>
      <c r="K95" s="24" t="str">
        <f>IF(CANDCALI!$H95&gt;=CANDCALI!$J95,"ELEGIDO","NO ELEGIDO")</f>
        <v>ELEGIDO</v>
      </c>
      <c r="L95" s="10"/>
    </row>
    <row r="96" ht="15.75" customHeight="1">
      <c r="A96" s="4" t="str">
        <f t="shared" si="1"/>
        <v>50</v>
      </c>
      <c r="B96" s="4">
        <v>5.0</v>
      </c>
      <c r="C96" s="4" t="s">
        <v>41</v>
      </c>
      <c r="D96" s="31">
        <v>0.0</v>
      </c>
      <c r="E96" s="24" t="s">
        <v>41</v>
      </c>
      <c r="F96" s="4"/>
      <c r="G96" s="11" t="str">
        <f>PARTIDO_UNION_PATRIOTICA_UP</f>
        <v>  2,277 </v>
      </c>
      <c r="H96" s="24" t="str">
        <f>IF(D96=0,0,CANDCALI!$G96)</f>
        <v>0</v>
      </c>
      <c r="I96" s="26" t="str">
        <f>CIFCAL!AC6</f>
        <v>0</v>
      </c>
      <c r="J96" s="24"/>
      <c r="K96" s="24"/>
      <c r="L96" s="27"/>
      <c r="M96" s="27"/>
      <c r="N96" s="27"/>
      <c r="O96" s="27"/>
      <c r="P96" s="27"/>
      <c r="Q96" s="27"/>
    </row>
    <row r="97" ht="15.75" customHeight="1">
      <c r="A97" s="4" t="str">
        <f t="shared" si="1"/>
        <v>51</v>
      </c>
      <c r="B97" s="4">
        <v>5.0</v>
      </c>
      <c r="C97" s="4" t="s">
        <v>41</v>
      </c>
      <c r="D97" s="28">
        <v>1.0</v>
      </c>
      <c r="E97" s="29" t="s">
        <v>161</v>
      </c>
      <c r="F97" s="4" t="s">
        <v>69</v>
      </c>
      <c r="G97" s="6">
        <v>0.0</v>
      </c>
      <c r="H97" s="30" t="str">
        <f>IF(D97=0,0,CANDCALI!$G97)</f>
        <v>  -   </v>
      </c>
      <c r="I97" s="4"/>
      <c r="J97" s="4"/>
      <c r="K97" s="4" t="str">
        <f>IF(I96&gt;=1,"ELEGIDO","NO ELEGIDO")</f>
        <v>NO ELEGIDO</v>
      </c>
      <c r="L97" s="10"/>
    </row>
    <row r="98" ht="15.75" customHeight="1">
      <c r="A98" s="4" t="str">
        <f t="shared" si="1"/>
        <v>52</v>
      </c>
      <c r="B98" s="4">
        <v>5.0</v>
      </c>
      <c r="C98" s="4" t="s">
        <v>41</v>
      </c>
      <c r="D98" s="28">
        <v>2.0</v>
      </c>
      <c r="E98" s="29" t="s">
        <v>162</v>
      </c>
      <c r="F98" s="4" t="s">
        <v>77</v>
      </c>
      <c r="G98" s="6">
        <v>0.0</v>
      </c>
      <c r="H98" s="30" t="str">
        <f>IF(D98=0,0,CANDCALI!$G98)</f>
        <v>  -   </v>
      </c>
      <c r="I98" s="4"/>
      <c r="J98" s="4"/>
      <c r="K98" s="4" t="str">
        <f>IF(I96&gt;=2,"ELEGIDO","NO ELEGIDO")</f>
        <v>NO ELEGIDO</v>
      </c>
      <c r="L98" s="10"/>
    </row>
    <row r="99" ht="15.75" customHeight="1">
      <c r="A99" s="4" t="str">
        <f t="shared" si="1"/>
        <v>53</v>
      </c>
      <c r="B99" s="4">
        <v>5.0</v>
      </c>
      <c r="C99" s="4" t="s">
        <v>41</v>
      </c>
      <c r="D99" s="28">
        <v>3.0</v>
      </c>
      <c r="E99" s="29" t="s">
        <v>163</v>
      </c>
      <c r="F99" s="4" t="s">
        <v>69</v>
      </c>
      <c r="G99" s="6">
        <v>0.0</v>
      </c>
      <c r="H99" s="30" t="str">
        <f>IF(D99=0,0,CANDCALI!$G99)</f>
        <v>  -   </v>
      </c>
      <c r="I99" s="4"/>
      <c r="J99" s="4"/>
      <c r="K99" s="4" t="str">
        <f>IF(I96&gt;=3,"ELEGIDO","NO ELEGIDO")</f>
        <v>NO ELEGIDO</v>
      </c>
      <c r="L99" s="10"/>
    </row>
    <row r="100" ht="15.75" customHeight="1">
      <c r="A100" s="4" t="str">
        <f t="shared" si="1"/>
        <v>54</v>
      </c>
      <c r="B100" s="4">
        <v>5.0</v>
      </c>
      <c r="C100" s="4" t="s">
        <v>41</v>
      </c>
      <c r="D100" s="28">
        <v>4.0</v>
      </c>
      <c r="E100" s="29" t="s">
        <v>164</v>
      </c>
      <c r="F100" s="4" t="s">
        <v>69</v>
      </c>
      <c r="G100" s="6">
        <v>0.0</v>
      </c>
      <c r="H100" s="30" t="str">
        <f>IF(D100=0,0,CANDCALI!$G100)</f>
        <v>  -   </v>
      </c>
      <c r="I100" s="4"/>
      <c r="J100" s="4"/>
      <c r="K100" s="4" t="str">
        <f>IF(I96&gt;=4,"ELEGIDO","NO ELEGIDO")</f>
        <v>NO ELEGIDO</v>
      </c>
      <c r="L100" s="10"/>
    </row>
    <row r="101" ht="15.75" customHeight="1">
      <c r="A101" s="4" t="str">
        <f t="shared" si="1"/>
        <v>55</v>
      </c>
      <c r="B101" s="4">
        <v>5.0</v>
      </c>
      <c r="C101" s="4" t="s">
        <v>41</v>
      </c>
      <c r="D101" s="28">
        <v>5.0</v>
      </c>
      <c r="E101" s="29" t="s">
        <v>165</v>
      </c>
      <c r="F101" s="4" t="s">
        <v>77</v>
      </c>
      <c r="G101" s="6">
        <v>0.0</v>
      </c>
      <c r="H101" s="30" t="str">
        <f>IF(D101=0,0,CANDCALI!$G101)</f>
        <v>  -   </v>
      </c>
      <c r="I101" s="4"/>
      <c r="J101" s="4"/>
      <c r="K101" s="4" t="str">
        <f>IF(I96&gt;=5,"ELEGIDO","NO ELEGIDO")</f>
        <v>NO ELEGIDO</v>
      </c>
      <c r="L101" s="10"/>
    </row>
    <row r="102" ht="15.75" customHeight="1">
      <c r="A102" s="4" t="str">
        <f t="shared" si="1"/>
        <v>56</v>
      </c>
      <c r="B102" s="4">
        <v>5.0</v>
      </c>
      <c r="C102" s="4" t="s">
        <v>41</v>
      </c>
      <c r="D102" s="28">
        <v>6.0</v>
      </c>
      <c r="E102" s="29" t="s">
        <v>166</v>
      </c>
      <c r="F102" s="4" t="s">
        <v>77</v>
      </c>
      <c r="G102" s="6">
        <v>0.0</v>
      </c>
      <c r="H102" s="30" t="str">
        <f>IF(D102=0,0,CANDCALI!$G102)</f>
        <v>  -   </v>
      </c>
      <c r="I102" s="4"/>
      <c r="J102" s="4"/>
      <c r="K102" s="4" t="str">
        <f>IF(I96&gt;=6,"ELEGIDO","NO ELEGIDO")</f>
        <v>NO ELEGIDO</v>
      </c>
      <c r="L102" s="10"/>
    </row>
    <row r="103" ht="15.75" customHeight="1">
      <c r="A103" s="4" t="str">
        <f t="shared" si="1"/>
        <v>57</v>
      </c>
      <c r="B103" s="4">
        <v>5.0</v>
      </c>
      <c r="C103" s="4" t="s">
        <v>41</v>
      </c>
      <c r="D103" s="28">
        <v>7.0</v>
      </c>
      <c r="E103" s="29" t="s">
        <v>167</v>
      </c>
      <c r="F103" s="4" t="s">
        <v>69</v>
      </c>
      <c r="G103" s="6">
        <v>0.0</v>
      </c>
      <c r="H103" s="30" t="str">
        <f>IF(D103=0,0,CANDCALI!$G103)</f>
        <v>  -   </v>
      </c>
      <c r="I103" s="4"/>
      <c r="J103" s="4"/>
      <c r="K103" s="4" t="str">
        <f>IF(I96&gt;=7,"ELEGIDO","NO ELEGIDO")</f>
        <v>NO ELEGIDO</v>
      </c>
      <c r="L103" s="10"/>
    </row>
    <row r="104" ht="15.75" customHeight="1">
      <c r="A104" s="4" t="str">
        <f t="shared" si="1"/>
        <v>60</v>
      </c>
      <c r="B104" s="4">
        <v>6.0</v>
      </c>
      <c r="C104" s="4" t="s">
        <v>43</v>
      </c>
      <c r="D104" s="31">
        <v>0.0</v>
      </c>
      <c r="E104" s="24" t="s">
        <v>43</v>
      </c>
      <c r="F104" s="4"/>
      <c r="G104" s="11" t="str">
        <f>PARTIDO_CAMBIO_RADICAL-SUM(G105:G125)</f>
        <v>  34,521 </v>
      </c>
      <c r="H104" s="24" t="str">
        <f>IF(D104=0,0,CANDCALI!$G104)</f>
        <v>0</v>
      </c>
      <c r="I104" s="26" t="str">
        <f>CIFCAL!AC7</f>
        <v>4</v>
      </c>
      <c r="J104" s="24" t="str">
        <f>LARGE(H104:H125,CANDCALI!$I104)</f>
        <v>5988</v>
      </c>
      <c r="K104" s="24"/>
      <c r="L104" s="27"/>
      <c r="M104" s="27"/>
      <c r="N104" s="27"/>
      <c r="O104" s="27"/>
      <c r="P104" s="27"/>
      <c r="Q104" s="27"/>
    </row>
    <row r="105" ht="15.75" customHeight="1">
      <c r="A105" s="4" t="str">
        <f t="shared" si="1"/>
        <v>61</v>
      </c>
      <c r="B105" s="4">
        <v>6.0</v>
      </c>
      <c r="C105" s="4" t="s">
        <v>43</v>
      </c>
      <c r="D105" s="28">
        <v>1.0</v>
      </c>
      <c r="E105" s="29" t="s">
        <v>168</v>
      </c>
      <c r="F105" s="4" t="s">
        <v>77</v>
      </c>
      <c r="G105" s="6">
        <v>13600.0</v>
      </c>
      <c r="H105" s="30" t="str">
        <f>IF(D105=0,0,CANDCALI!$G105)</f>
        <v>  13,600 </v>
      </c>
      <c r="I105" s="4"/>
      <c r="J105" s="4" t="str">
        <f t="shared" ref="J105:J125" si="6">J104</f>
        <v>5988</v>
      </c>
      <c r="K105" s="24" t="str">
        <f>IF(CANDCALI!$H105&gt;=CANDCALI!$J105,"ELEGIDO","NO ELEGIDO")</f>
        <v>ELEGIDO</v>
      </c>
      <c r="L105" s="10"/>
    </row>
    <row r="106" ht="15.75" customHeight="1">
      <c r="A106" s="4" t="str">
        <f t="shared" si="1"/>
        <v>62</v>
      </c>
      <c r="B106" s="4">
        <v>6.0</v>
      </c>
      <c r="C106" s="4" t="s">
        <v>43</v>
      </c>
      <c r="D106" s="28">
        <v>2.0</v>
      </c>
      <c r="E106" s="29" t="s">
        <v>169</v>
      </c>
      <c r="F106" s="4" t="s">
        <v>69</v>
      </c>
      <c r="G106" s="6">
        <v>9689.0</v>
      </c>
      <c r="H106" s="30" t="str">
        <f>IF(D106=0,0,CANDCALI!$G106)</f>
        <v>  9,689 </v>
      </c>
      <c r="I106" s="4"/>
      <c r="J106" s="4" t="str">
        <f t="shared" si="6"/>
        <v>5988</v>
      </c>
      <c r="K106" s="24" t="str">
        <f>IF(CANDCALI!$H106&gt;=CANDCALI!$J106,"ELEGIDO","NO ELEGIDO")</f>
        <v>ELEGIDO</v>
      </c>
      <c r="L106" s="10"/>
    </row>
    <row r="107" ht="15.75" customHeight="1">
      <c r="A107" s="4" t="str">
        <f t="shared" si="1"/>
        <v>63</v>
      </c>
      <c r="B107" s="4">
        <v>6.0</v>
      </c>
      <c r="C107" s="4" t="s">
        <v>43</v>
      </c>
      <c r="D107" s="28">
        <v>3.0</v>
      </c>
      <c r="E107" s="29" t="s">
        <v>170</v>
      </c>
      <c r="F107" s="4" t="s">
        <v>77</v>
      </c>
      <c r="G107" s="6">
        <v>5988.0</v>
      </c>
      <c r="H107" s="30" t="str">
        <f>IF(D107=0,0,CANDCALI!$G107)</f>
        <v>  5,988 </v>
      </c>
      <c r="I107" s="4"/>
      <c r="J107" s="4" t="str">
        <f t="shared" si="6"/>
        <v>5988</v>
      </c>
      <c r="K107" s="24" t="str">
        <f>IF(CANDCALI!$H107&gt;=CANDCALI!$J107,"ELEGIDO","NO ELEGIDO")</f>
        <v>ELEGIDO</v>
      </c>
      <c r="L107" s="10"/>
    </row>
    <row r="108" ht="15.75" customHeight="1">
      <c r="A108" s="4" t="str">
        <f t="shared" si="1"/>
        <v>64</v>
      </c>
      <c r="B108" s="4">
        <v>6.0</v>
      </c>
      <c r="C108" s="4" t="s">
        <v>43</v>
      </c>
      <c r="D108" s="28">
        <v>4.0</v>
      </c>
      <c r="E108" s="29" t="s">
        <v>171</v>
      </c>
      <c r="F108" s="4" t="s">
        <v>69</v>
      </c>
      <c r="G108" s="6">
        <v>1423.0</v>
      </c>
      <c r="H108" s="30" t="str">
        <f>IF(D108=0,0,CANDCALI!$G108)</f>
        <v>  1,423 </v>
      </c>
      <c r="I108" s="4"/>
      <c r="J108" s="4" t="str">
        <f t="shared" si="6"/>
        <v>5988</v>
      </c>
      <c r="K108" s="24" t="str">
        <f>IF(CANDCALI!$H108&gt;=CANDCALI!$J108,"ELEGIDO","NO ELEGIDO")</f>
        <v>NO ELEGIDO</v>
      </c>
      <c r="L108" s="10"/>
    </row>
    <row r="109" ht="15.75" customHeight="1">
      <c r="A109" s="4" t="str">
        <f t="shared" si="1"/>
        <v>65</v>
      </c>
      <c r="B109" s="4">
        <v>6.0</v>
      </c>
      <c r="C109" s="4" t="s">
        <v>43</v>
      </c>
      <c r="D109" s="28">
        <v>5.0</v>
      </c>
      <c r="E109" s="29" t="s">
        <v>172</v>
      </c>
      <c r="F109" s="4" t="s">
        <v>77</v>
      </c>
      <c r="G109" s="6">
        <v>460.0</v>
      </c>
      <c r="H109" s="30" t="str">
        <f>IF(D109=0,0,CANDCALI!$G109)</f>
        <v>  460 </v>
      </c>
      <c r="I109" s="4"/>
      <c r="J109" s="4" t="str">
        <f t="shared" si="6"/>
        <v>5988</v>
      </c>
      <c r="K109" s="24" t="str">
        <f>IF(CANDCALI!$H109&gt;=CANDCALI!$J109,"ELEGIDO","NO ELEGIDO")</f>
        <v>NO ELEGIDO</v>
      </c>
      <c r="L109" s="10"/>
    </row>
    <row r="110" ht="15.75" customHeight="1">
      <c r="A110" s="4" t="str">
        <f t="shared" si="1"/>
        <v>66</v>
      </c>
      <c r="B110" s="4">
        <v>6.0</v>
      </c>
      <c r="C110" s="4" t="s">
        <v>43</v>
      </c>
      <c r="D110" s="28">
        <v>6.0</v>
      </c>
      <c r="E110" s="29" t="s">
        <v>173</v>
      </c>
      <c r="F110" s="4" t="s">
        <v>69</v>
      </c>
      <c r="G110" s="6">
        <v>2500.0</v>
      </c>
      <c r="H110" s="30" t="str">
        <f>IF(D110=0,0,CANDCALI!$G110)</f>
        <v>  2,500 </v>
      </c>
      <c r="I110" s="4"/>
      <c r="J110" s="4" t="str">
        <f t="shared" si="6"/>
        <v>5988</v>
      </c>
      <c r="K110" s="24" t="str">
        <f>IF(CANDCALI!$H110&gt;=CANDCALI!$J110,"ELEGIDO","NO ELEGIDO")</f>
        <v>NO ELEGIDO</v>
      </c>
      <c r="L110" s="10"/>
    </row>
    <row r="111" ht="15.75" customHeight="1">
      <c r="A111" s="4" t="str">
        <f t="shared" si="1"/>
        <v>67</v>
      </c>
      <c r="B111" s="4">
        <v>6.0</v>
      </c>
      <c r="C111" s="4" t="s">
        <v>43</v>
      </c>
      <c r="D111" s="28">
        <v>7.0</v>
      </c>
      <c r="E111" s="29" t="s">
        <v>174</v>
      </c>
      <c r="F111" s="4" t="s">
        <v>77</v>
      </c>
      <c r="G111" s="6">
        <v>5400.0</v>
      </c>
      <c r="H111" s="30" t="str">
        <f>IF(D111=0,0,CANDCALI!$G111)</f>
        <v>  5,400 </v>
      </c>
      <c r="I111" s="4"/>
      <c r="J111" s="4" t="str">
        <f t="shared" si="6"/>
        <v>5988</v>
      </c>
      <c r="K111" s="24" t="str">
        <f>IF(CANDCALI!$H111&gt;=CANDCALI!$J111,"ELEGIDO","NO ELEGIDO")</f>
        <v>NO ELEGIDO</v>
      </c>
      <c r="L111" s="10"/>
    </row>
    <row r="112" ht="15.75" customHeight="1">
      <c r="A112" s="4" t="str">
        <f t="shared" si="1"/>
        <v>68</v>
      </c>
      <c r="B112" s="4">
        <v>6.0</v>
      </c>
      <c r="C112" s="4" t="s">
        <v>43</v>
      </c>
      <c r="D112" s="28">
        <v>8.0</v>
      </c>
      <c r="E112" s="29" t="s">
        <v>175</v>
      </c>
      <c r="F112" s="4" t="s">
        <v>77</v>
      </c>
      <c r="G112" s="6">
        <v>11.0</v>
      </c>
      <c r="H112" s="30" t="str">
        <f>IF(D112=0,0,CANDCALI!$G112)</f>
        <v>  11 </v>
      </c>
      <c r="I112" s="4"/>
      <c r="J112" s="4" t="str">
        <f t="shared" si="6"/>
        <v>5988</v>
      </c>
      <c r="K112" s="24" t="str">
        <f>IF(CANDCALI!$H112&gt;=CANDCALI!$J112,"ELEGIDO","NO ELEGIDO")</f>
        <v>NO ELEGIDO</v>
      </c>
      <c r="L112" s="10"/>
    </row>
    <row r="113" ht="15.75" customHeight="1">
      <c r="A113" s="4" t="str">
        <f t="shared" si="1"/>
        <v>69</v>
      </c>
      <c r="B113" s="4">
        <v>6.0</v>
      </c>
      <c r="C113" s="4" t="s">
        <v>43</v>
      </c>
      <c r="D113" s="28">
        <v>9.0</v>
      </c>
      <c r="E113" s="29" t="s">
        <v>176</v>
      </c>
      <c r="F113" s="4" t="s">
        <v>77</v>
      </c>
      <c r="G113" s="6">
        <v>450.0</v>
      </c>
      <c r="H113" s="30" t="str">
        <f>IF(D113=0,0,CANDCALI!$G113)</f>
        <v>  450 </v>
      </c>
      <c r="I113" s="4"/>
      <c r="J113" s="4" t="str">
        <f t="shared" si="6"/>
        <v>5988</v>
      </c>
      <c r="K113" s="24" t="str">
        <f>IF(CANDCALI!$H113&gt;=CANDCALI!$J113,"ELEGIDO","NO ELEGIDO")</f>
        <v>NO ELEGIDO</v>
      </c>
      <c r="L113" s="10"/>
    </row>
    <row r="114" ht="15.75" customHeight="1">
      <c r="A114" s="4" t="str">
        <f t="shared" si="1"/>
        <v>610</v>
      </c>
      <c r="B114" s="4">
        <v>6.0</v>
      </c>
      <c r="C114" s="4" t="s">
        <v>43</v>
      </c>
      <c r="D114" s="28">
        <v>10.0</v>
      </c>
      <c r="E114" s="29" t="s">
        <v>177</v>
      </c>
      <c r="F114" s="4" t="s">
        <v>77</v>
      </c>
      <c r="G114" s="6">
        <v>99.0</v>
      </c>
      <c r="H114" s="30" t="str">
        <f>IF(D114=0,0,CANDCALI!$G114)</f>
        <v>  99 </v>
      </c>
      <c r="I114" s="4"/>
      <c r="J114" s="4" t="str">
        <f t="shared" si="6"/>
        <v>5988</v>
      </c>
      <c r="K114" s="24" t="str">
        <f>IF(CANDCALI!$H114&gt;=CANDCALI!$J114,"ELEGIDO","NO ELEGIDO")</f>
        <v>NO ELEGIDO</v>
      </c>
      <c r="L114" s="10"/>
    </row>
    <row r="115" ht="15.75" customHeight="1">
      <c r="A115" s="4" t="str">
        <f t="shared" si="1"/>
        <v>611</v>
      </c>
      <c r="B115" s="4">
        <v>6.0</v>
      </c>
      <c r="C115" s="4" t="s">
        <v>43</v>
      </c>
      <c r="D115" s="28">
        <v>11.0</v>
      </c>
      <c r="E115" s="29" t="s">
        <v>178</v>
      </c>
      <c r="F115" s="4" t="s">
        <v>69</v>
      </c>
      <c r="G115" s="6">
        <v>990.0</v>
      </c>
      <c r="H115" s="30" t="str">
        <f>IF(D115=0,0,CANDCALI!$G115)</f>
        <v>  990 </v>
      </c>
      <c r="I115" s="4"/>
      <c r="J115" s="4" t="str">
        <f t="shared" si="6"/>
        <v>5988</v>
      </c>
      <c r="K115" s="24" t="str">
        <f>IF(CANDCALI!$H115&gt;=CANDCALI!$J115,"ELEGIDO","NO ELEGIDO")</f>
        <v>NO ELEGIDO</v>
      </c>
      <c r="L115" s="10"/>
    </row>
    <row r="116" ht="15.75" customHeight="1">
      <c r="A116" s="4" t="str">
        <f t="shared" si="1"/>
        <v>612</v>
      </c>
      <c r="B116" s="4">
        <v>6.0</v>
      </c>
      <c r="C116" s="4" t="s">
        <v>43</v>
      </c>
      <c r="D116" s="28">
        <v>12.0</v>
      </c>
      <c r="E116" s="29" t="s">
        <v>179</v>
      </c>
      <c r="F116" s="4" t="s">
        <v>77</v>
      </c>
      <c r="G116" s="6">
        <v>778.0</v>
      </c>
      <c r="H116" s="30" t="str">
        <f>IF(D116=0,0,CANDCALI!$G116)</f>
        <v>  778 </v>
      </c>
      <c r="I116" s="4"/>
      <c r="J116" s="4" t="str">
        <f t="shared" si="6"/>
        <v>5988</v>
      </c>
      <c r="K116" s="24" t="str">
        <f>IF(CANDCALI!$H116&gt;=CANDCALI!$J116,"ELEGIDO","NO ELEGIDO")</f>
        <v>NO ELEGIDO</v>
      </c>
      <c r="L116" s="10"/>
    </row>
    <row r="117" ht="15.75" customHeight="1">
      <c r="A117" s="4" t="str">
        <f t="shared" si="1"/>
        <v>613</v>
      </c>
      <c r="B117" s="4">
        <v>6.0</v>
      </c>
      <c r="C117" s="4" t="s">
        <v>43</v>
      </c>
      <c r="D117" s="28">
        <v>13.0</v>
      </c>
      <c r="E117" s="29" t="s">
        <v>180</v>
      </c>
      <c r="F117" s="4" t="s">
        <v>77</v>
      </c>
      <c r="G117" s="6">
        <v>8974.0</v>
      </c>
      <c r="H117" s="30" t="str">
        <f>IF(D117=0,0,CANDCALI!$G117)</f>
        <v>  8,974 </v>
      </c>
      <c r="I117" s="4"/>
      <c r="J117" s="4" t="str">
        <f t="shared" si="6"/>
        <v>5988</v>
      </c>
      <c r="K117" s="24" t="str">
        <f>IF(CANDCALI!$H117&gt;=CANDCALI!$J117,"ELEGIDO","NO ELEGIDO")</f>
        <v>ELEGIDO</v>
      </c>
      <c r="L117" s="10"/>
    </row>
    <row r="118" ht="15.75" customHeight="1">
      <c r="A118" s="4" t="str">
        <f t="shared" si="1"/>
        <v>614</v>
      </c>
      <c r="B118" s="4">
        <v>6.0</v>
      </c>
      <c r="C118" s="4" t="s">
        <v>43</v>
      </c>
      <c r="D118" s="28">
        <v>14.0</v>
      </c>
      <c r="E118" s="29" t="s">
        <v>181</v>
      </c>
      <c r="F118" s="4" t="s">
        <v>69</v>
      </c>
      <c r="G118" s="6">
        <v>1400.0</v>
      </c>
      <c r="H118" s="30" t="str">
        <f>IF(D118=0,0,CANDCALI!$G118)</f>
        <v>  1,400 </v>
      </c>
      <c r="I118" s="4"/>
      <c r="J118" s="4" t="str">
        <f t="shared" si="6"/>
        <v>5988</v>
      </c>
      <c r="K118" s="24" t="str">
        <f>IF(CANDCALI!$H118&gt;=CANDCALI!$J118,"ELEGIDO","NO ELEGIDO")</f>
        <v>NO ELEGIDO</v>
      </c>
      <c r="L118" s="10"/>
    </row>
    <row r="119" ht="15.75" customHeight="1">
      <c r="A119" s="4" t="str">
        <f t="shared" si="1"/>
        <v>615</v>
      </c>
      <c r="B119" s="4">
        <v>6.0</v>
      </c>
      <c r="C119" s="4" t="s">
        <v>43</v>
      </c>
      <c r="D119" s="28">
        <v>15.0</v>
      </c>
      <c r="E119" s="29" t="s">
        <v>182</v>
      </c>
      <c r="F119" s="4" t="s">
        <v>69</v>
      </c>
      <c r="G119" s="6">
        <v>5000.0</v>
      </c>
      <c r="H119" s="30" t="str">
        <f>IF(D119=0,0,CANDCALI!$G119)</f>
        <v>  5,000 </v>
      </c>
      <c r="I119" s="4"/>
      <c r="J119" s="4" t="str">
        <f t="shared" si="6"/>
        <v>5988</v>
      </c>
      <c r="K119" s="24" t="str">
        <f>IF(CANDCALI!$H119&gt;=CANDCALI!$J119,"ELEGIDO","NO ELEGIDO")</f>
        <v>NO ELEGIDO</v>
      </c>
      <c r="L119" s="10"/>
    </row>
    <row r="120" ht="15.75" customHeight="1">
      <c r="A120" s="4" t="str">
        <f t="shared" si="1"/>
        <v>616</v>
      </c>
      <c r="B120" s="4">
        <v>6.0</v>
      </c>
      <c r="C120" s="4" t="s">
        <v>43</v>
      </c>
      <c r="D120" s="28">
        <v>16.0</v>
      </c>
      <c r="E120" s="29" t="s">
        <v>183</v>
      </c>
      <c r="F120" s="4" t="s">
        <v>69</v>
      </c>
      <c r="G120" s="6">
        <v>12.0</v>
      </c>
      <c r="H120" s="30" t="str">
        <f>IF(D120=0,0,CANDCALI!$G120)</f>
        <v>  12 </v>
      </c>
      <c r="I120" s="4"/>
      <c r="J120" s="4" t="str">
        <f t="shared" si="6"/>
        <v>5988</v>
      </c>
      <c r="K120" s="24" t="str">
        <f>IF(CANDCALI!$H120&gt;=CANDCALI!$J120,"ELEGIDO","NO ELEGIDO")</f>
        <v>NO ELEGIDO</v>
      </c>
      <c r="L120" s="10"/>
    </row>
    <row r="121" ht="15.75" customHeight="1">
      <c r="A121" s="4" t="str">
        <f t="shared" si="1"/>
        <v>617</v>
      </c>
      <c r="B121" s="4">
        <v>6.0</v>
      </c>
      <c r="C121" s="4" t="s">
        <v>43</v>
      </c>
      <c r="D121" s="28">
        <v>17.0</v>
      </c>
      <c r="E121" s="29" t="s">
        <v>184</v>
      </c>
      <c r="F121" s="4" t="s">
        <v>77</v>
      </c>
      <c r="G121" s="6">
        <v>987.0</v>
      </c>
      <c r="H121" s="30" t="str">
        <f>IF(D121=0,0,CANDCALI!$G121)</f>
        <v>  987 </v>
      </c>
      <c r="I121" s="4"/>
      <c r="J121" s="4" t="str">
        <f t="shared" si="6"/>
        <v>5988</v>
      </c>
      <c r="K121" s="24" t="str">
        <f>IF(CANDCALI!$H121&gt;=CANDCALI!$J121,"ELEGIDO","NO ELEGIDO")</f>
        <v>NO ELEGIDO</v>
      </c>
      <c r="L121" s="10"/>
    </row>
    <row r="122" ht="15.75" customHeight="1">
      <c r="A122" s="4" t="str">
        <f t="shared" si="1"/>
        <v>618</v>
      </c>
      <c r="B122" s="4">
        <v>6.0</v>
      </c>
      <c r="C122" s="4" t="s">
        <v>43</v>
      </c>
      <c r="D122" s="28">
        <v>18.0</v>
      </c>
      <c r="E122" s="29" t="s">
        <v>185</v>
      </c>
      <c r="F122" s="4" t="s">
        <v>69</v>
      </c>
      <c r="G122" s="6">
        <v>14.0</v>
      </c>
      <c r="H122" s="30" t="str">
        <f>IF(D122=0,0,CANDCALI!$G122)</f>
        <v>  14 </v>
      </c>
      <c r="I122" s="4"/>
      <c r="J122" s="4" t="str">
        <f t="shared" si="6"/>
        <v>5988</v>
      </c>
      <c r="K122" s="24" t="str">
        <f>IF(CANDCALI!$H122&gt;=CANDCALI!$J122,"ELEGIDO","NO ELEGIDO")</f>
        <v>NO ELEGIDO</v>
      </c>
      <c r="L122" s="10"/>
    </row>
    <row r="123" ht="15.75" customHeight="1">
      <c r="A123" s="4" t="str">
        <f t="shared" si="1"/>
        <v>619</v>
      </c>
      <c r="B123" s="4">
        <v>6.0</v>
      </c>
      <c r="C123" s="4" t="s">
        <v>43</v>
      </c>
      <c r="D123" s="28">
        <v>19.0</v>
      </c>
      <c r="E123" s="29" t="s">
        <v>186</v>
      </c>
      <c r="F123" s="4" t="s">
        <v>69</v>
      </c>
      <c r="G123" s="6">
        <v>389.0</v>
      </c>
      <c r="H123" s="30" t="str">
        <f>IF(D123=0,0,CANDCALI!$G123)</f>
        <v>  389 </v>
      </c>
      <c r="I123" s="4"/>
      <c r="J123" s="4" t="str">
        <f t="shared" si="6"/>
        <v>5988</v>
      </c>
      <c r="K123" s="24" t="str">
        <f>IF(CANDCALI!$H123&gt;=CANDCALI!$J123,"ELEGIDO","NO ELEGIDO")</f>
        <v>NO ELEGIDO</v>
      </c>
      <c r="L123" s="10"/>
    </row>
    <row r="124" ht="15.75" customHeight="1">
      <c r="A124" s="4" t="str">
        <f t="shared" si="1"/>
        <v>620</v>
      </c>
      <c r="B124" s="4">
        <v>6.0</v>
      </c>
      <c r="C124" s="4" t="s">
        <v>43</v>
      </c>
      <c r="D124" s="28">
        <v>20.0</v>
      </c>
      <c r="E124" s="29" t="s">
        <v>187</v>
      </c>
      <c r="F124" s="4" t="s">
        <v>77</v>
      </c>
      <c r="G124" s="6">
        <v>5.0</v>
      </c>
      <c r="H124" s="30" t="str">
        <f>IF(D124=0,0,CANDCALI!$G124)</f>
        <v>  5 </v>
      </c>
      <c r="I124" s="4"/>
      <c r="J124" s="4" t="str">
        <f t="shared" si="6"/>
        <v>5988</v>
      </c>
      <c r="K124" s="24" t="str">
        <f>IF(CANDCALI!$H124&gt;=CANDCALI!$J124,"ELEGIDO","NO ELEGIDO")</f>
        <v>NO ELEGIDO</v>
      </c>
      <c r="L124" s="10"/>
    </row>
    <row r="125" ht="15.75" customHeight="1">
      <c r="A125" s="4" t="str">
        <f t="shared" si="1"/>
        <v>621</v>
      </c>
      <c r="B125" s="4">
        <v>6.0</v>
      </c>
      <c r="C125" s="4" t="s">
        <v>43</v>
      </c>
      <c r="D125" s="28">
        <v>21.0</v>
      </c>
      <c r="E125" s="29" t="s">
        <v>188</v>
      </c>
      <c r="F125" s="4" t="s">
        <v>69</v>
      </c>
      <c r="G125" s="6">
        <v>1100.0</v>
      </c>
      <c r="H125" s="30" t="str">
        <f>IF(D125=0,0,CANDCALI!$G125)</f>
        <v>  1,100 </v>
      </c>
      <c r="I125" s="4"/>
      <c r="J125" s="4" t="str">
        <f t="shared" si="6"/>
        <v>5988</v>
      </c>
      <c r="K125" s="24" t="str">
        <f>IF(CANDCALI!$H125&gt;=CANDCALI!$J125,"ELEGIDO","NO ELEGIDO")</f>
        <v>NO ELEGIDO</v>
      </c>
      <c r="L125" s="10"/>
    </row>
    <row r="126" ht="15.75" customHeight="1">
      <c r="A126" s="4" t="str">
        <f t="shared" si="1"/>
        <v>70</v>
      </c>
      <c r="B126" s="4">
        <v>7.0</v>
      </c>
      <c r="C126" s="4" t="s">
        <v>45</v>
      </c>
      <c r="D126" s="31">
        <v>0.0</v>
      </c>
      <c r="E126" s="24" t="s">
        <v>45</v>
      </c>
      <c r="F126" s="4"/>
      <c r="G126" s="11" t="str">
        <f>PARTIDO_CENTRO_DEMOCRATICO</f>
        <v>  33,823 </v>
      </c>
      <c r="H126" s="24" t="str">
        <f>IF(D126=0,0,CANDCALI!$G126)</f>
        <v>0</v>
      </c>
      <c r="I126" s="26" t="str">
        <f>CIFCAL!AC8</f>
        <v>1</v>
      </c>
      <c r="J126" s="24"/>
      <c r="K126" s="24"/>
      <c r="L126" s="27"/>
      <c r="M126" s="27"/>
      <c r="N126" s="27"/>
      <c r="O126" s="27"/>
      <c r="P126" s="27"/>
      <c r="Q126" s="27"/>
    </row>
    <row r="127" ht="15.75" customHeight="1">
      <c r="A127" s="4" t="str">
        <f t="shared" si="1"/>
        <v>71</v>
      </c>
      <c r="B127" s="4">
        <v>7.0</v>
      </c>
      <c r="C127" s="4" t="s">
        <v>45</v>
      </c>
      <c r="D127" s="28">
        <v>1.0</v>
      </c>
      <c r="E127" s="29" t="s">
        <v>189</v>
      </c>
      <c r="F127" s="4" t="s">
        <v>77</v>
      </c>
      <c r="G127" s="6">
        <v>0.0</v>
      </c>
      <c r="H127" s="30" t="str">
        <f>IF(D127=0,0,CANDCALI!$G127)</f>
        <v>  -   </v>
      </c>
      <c r="I127" s="4"/>
      <c r="J127" s="4"/>
      <c r="K127" s="4" t="str">
        <f>IF(I126&gt;=1,"ELEGIDO","NO ELEGIDO")</f>
        <v>ELEGIDO</v>
      </c>
      <c r="L127" s="10"/>
    </row>
    <row r="128" ht="15.75" customHeight="1">
      <c r="A128" s="4" t="str">
        <f t="shared" si="1"/>
        <v>72</v>
      </c>
      <c r="B128" s="4">
        <v>7.0</v>
      </c>
      <c r="C128" s="4" t="s">
        <v>45</v>
      </c>
      <c r="D128" s="28">
        <v>2.0</v>
      </c>
      <c r="E128" s="29" t="s">
        <v>190</v>
      </c>
      <c r="F128" s="4" t="s">
        <v>77</v>
      </c>
      <c r="G128" s="6">
        <v>0.0</v>
      </c>
      <c r="H128" s="30" t="str">
        <f>IF(D128=0,0,CANDCALI!$G128)</f>
        <v>  -   </v>
      </c>
      <c r="I128" s="4"/>
      <c r="J128" s="4"/>
      <c r="K128" s="4" t="str">
        <f>IF(I126&gt;=2,"ELEGIDO","NO ELEGIDO")</f>
        <v>NO ELEGIDO</v>
      </c>
      <c r="L128" s="10"/>
    </row>
    <row r="129" ht="15.75" customHeight="1">
      <c r="A129" s="4" t="str">
        <f t="shared" si="1"/>
        <v>73</v>
      </c>
      <c r="B129" s="4">
        <v>7.0</v>
      </c>
      <c r="C129" s="4" t="s">
        <v>45</v>
      </c>
      <c r="D129" s="28">
        <v>3.0</v>
      </c>
      <c r="E129" s="29" t="s">
        <v>191</v>
      </c>
      <c r="F129" s="4" t="s">
        <v>77</v>
      </c>
      <c r="G129" s="6">
        <v>0.0</v>
      </c>
      <c r="H129" s="30" t="str">
        <f>IF(D129=0,0,CANDCALI!$G129)</f>
        <v>  -   </v>
      </c>
      <c r="I129" s="4"/>
      <c r="J129" s="4"/>
      <c r="K129" s="4" t="str">
        <f>IF(I126&gt;=3,"ELEGIDO","NO ELEGIDO")</f>
        <v>NO ELEGIDO</v>
      </c>
      <c r="L129" s="10"/>
    </row>
    <row r="130" ht="15.75" customHeight="1">
      <c r="A130" s="4" t="str">
        <f t="shared" si="1"/>
        <v>74</v>
      </c>
      <c r="B130" s="4">
        <v>7.0</v>
      </c>
      <c r="C130" s="4" t="s">
        <v>45</v>
      </c>
      <c r="D130" s="28">
        <v>4.0</v>
      </c>
      <c r="E130" s="29" t="s">
        <v>192</v>
      </c>
      <c r="F130" s="4" t="s">
        <v>69</v>
      </c>
      <c r="G130" s="6">
        <v>0.0</v>
      </c>
      <c r="H130" s="30" t="str">
        <f>IF(D130=0,0,CANDCALI!$G130)</f>
        <v>  -   </v>
      </c>
      <c r="I130" s="4"/>
      <c r="J130" s="4"/>
      <c r="K130" s="4" t="str">
        <f>IF(I126&gt;=4,"ELEGIDO","NO ELEGIDO")</f>
        <v>NO ELEGIDO</v>
      </c>
      <c r="L130" s="10"/>
    </row>
    <row r="131" ht="15.75" customHeight="1">
      <c r="A131" s="4" t="str">
        <f t="shared" si="1"/>
        <v>75</v>
      </c>
      <c r="B131" s="4">
        <v>7.0</v>
      </c>
      <c r="C131" s="4" t="s">
        <v>45</v>
      </c>
      <c r="D131" s="28">
        <v>5.0</v>
      </c>
      <c r="E131" s="29" t="s">
        <v>193</v>
      </c>
      <c r="F131" s="4" t="s">
        <v>77</v>
      </c>
      <c r="G131" s="6">
        <v>0.0</v>
      </c>
      <c r="H131" s="30" t="str">
        <f>IF(D131=0,0,CANDCALI!$G131)</f>
        <v>  -   </v>
      </c>
      <c r="I131" s="4"/>
      <c r="J131" s="4"/>
      <c r="K131" s="4" t="str">
        <f>IF(I126&gt;=5,"ELEGIDO","NO ELEGIDO")</f>
        <v>NO ELEGIDO</v>
      </c>
      <c r="L131" s="10"/>
    </row>
    <row r="132" ht="15.75" customHeight="1">
      <c r="A132" s="4" t="str">
        <f t="shared" si="1"/>
        <v>76</v>
      </c>
      <c r="B132" s="4">
        <v>7.0</v>
      </c>
      <c r="C132" s="4" t="s">
        <v>45</v>
      </c>
      <c r="D132" s="28">
        <v>6.0</v>
      </c>
      <c r="E132" s="29" t="s">
        <v>194</v>
      </c>
      <c r="F132" s="4" t="s">
        <v>77</v>
      </c>
      <c r="G132" s="6">
        <v>0.0</v>
      </c>
      <c r="H132" s="30" t="str">
        <f>IF(D132=0,0,CANDCALI!$G132)</f>
        <v>  -   </v>
      </c>
      <c r="I132" s="4"/>
      <c r="J132" s="4"/>
      <c r="K132" s="4" t="str">
        <f>IF(I126&gt;=6,"ELEGIDO","NO ELEGIDO")</f>
        <v>NO ELEGIDO</v>
      </c>
      <c r="L132" s="10"/>
    </row>
    <row r="133" ht="15.75" customHeight="1">
      <c r="A133" s="4" t="str">
        <f t="shared" si="1"/>
        <v>77</v>
      </c>
      <c r="B133" s="4">
        <v>7.0</v>
      </c>
      <c r="C133" s="4" t="s">
        <v>45</v>
      </c>
      <c r="D133" s="28">
        <v>7.0</v>
      </c>
      <c r="E133" s="29" t="s">
        <v>195</v>
      </c>
      <c r="F133" s="4" t="s">
        <v>69</v>
      </c>
      <c r="G133" s="6">
        <v>0.0</v>
      </c>
      <c r="H133" s="30" t="str">
        <f>IF(D133=0,0,CANDCALI!$G133)</f>
        <v>  -   </v>
      </c>
      <c r="I133" s="4"/>
      <c r="J133" s="4"/>
      <c r="K133" s="4" t="str">
        <f>IF(I126&gt;=7,"ELEGIDO","NO ELEGIDO")</f>
        <v>NO ELEGIDO</v>
      </c>
      <c r="L133" s="10"/>
    </row>
    <row r="134" ht="15.75" customHeight="1">
      <c r="A134" s="4" t="str">
        <f t="shared" si="1"/>
        <v>78</v>
      </c>
      <c r="B134" s="4">
        <v>7.0</v>
      </c>
      <c r="C134" s="4" t="s">
        <v>45</v>
      </c>
      <c r="D134" s="28">
        <v>8.0</v>
      </c>
      <c r="E134" s="29" t="s">
        <v>196</v>
      </c>
      <c r="F134" s="4" t="s">
        <v>77</v>
      </c>
      <c r="G134" s="6">
        <v>0.0</v>
      </c>
      <c r="H134" s="30" t="str">
        <f>IF(D134=0,0,CANDCALI!$G134)</f>
        <v>  -   </v>
      </c>
      <c r="I134" s="4"/>
      <c r="J134" s="4"/>
      <c r="K134" s="4" t="str">
        <f>IF(I126&gt;=8,"ELEGIDO","NO ELEGIDO")</f>
        <v>NO ELEGIDO</v>
      </c>
      <c r="L134" s="10"/>
    </row>
    <row r="135" ht="15.75" customHeight="1">
      <c r="A135" s="4" t="str">
        <f t="shared" si="1"/>
        <v>79</v>
      </c>
      <c r="B135" s="4">
        <v>7.0</v>
      </c>
      <c r="C135" s="4" t="s">
        <v>45</v>
      </c>
      <c r="D135" s="28">
        <v>9.0</v>
      </c>
      <c r="E135" s="29" t="s">
        <v>197</v>
      </c>
      <c r="F135" s="4" t="s">
        <v>69</v>
      </c>
      <c r="G135" s="6">
        <v>0.0</v>
      </c>
      <c r="H135" s="30" t="str">
        <f>IF(D135=0,0,CANDCALI!$G135)</f>
        <v>  -   </v>
      </c>
      <c r="I135" s="4"/>
      <c r="J135" s="4"/>
      <c r="K135" s="4" t="str">
        <f>IF(I126&gt;=8,"ELEGIDO","NO ELEGIDO")</f>
        <v>NO ELEGIDO</v>
      </c>
      <c r="L135" s="10"/>
    </row>
    <row r="136" ht="15.75" customHeight="1">
      <c r="A136" s="4" t="str">
        <f t="shared" si="1"/>
        <v>710</v>
      </c>
      <c r="B136" s="4">
        <v>7.0</v>
      </c>
      <c r="C136" s="4" t="s">
        <v>45</v>
      </c>
      <c r="D136" s="28">
        <v>10.0</v>
      </c>
      <c r="E136" s="29" t="s">
        <v>198</v>
      </c>
      <c r="F136" s="4" t="s">
        <v>77</v>
      </c>
      <c r="G136" s="6">
        <v>0.0</v>
      </c>
      <c r="H136" s="30" t="str">
        <f>IF(D136=0,0,CANDCALI!$G136)</f>
        <v>  -   </v>
      </c>
      <c r="I136" s="4"/>
      <c r="J136" s="4"/>
      <c r="K136" s="4" t="str">
        <f>IF(I126&gt;=9,"ELEGIDO","NO ELEGIDO")</f>
        <v>NO ELEGIDO</v>
      </c>
      <c r="L136" s="10"/>
    </row>
    <row r="137" ht="15.75" customHeight="1">
      <c r="A137" s="4" t="str">
        <f t="shared" si="1"/>
        <v>711</v>
      </c>
      <c r="B137" s="4">
        <v>7.0</v>
      </c>
      <c r="C137" s="4" t="s">
        <v>45</v>
      </c>
      <c r="D137" s="28">
        <v>11.0</v>
      </c>
      <c r="E137" s="29" t="s">
        <v>199</v>
      </c>
      <c r="F137" s="4" t="s">
        <v>77</v>
      </c>
      <c r="G137" s="6">
        <v>0.0</v>
      </c>
      <c r="H137" s="30" t="str">
        <f>IF(D137=0,0,CANDCALI!$G137)</f>
        <v>  -   </v>
      </c>
      <c r="I137" s="4"/>
      <c r="J137" s="4"/>
      <c r="K137" s="4" t="str">
        <f>IF(I126&gt;=10,"ELEGIDO","NO ELEGIDO")</f>
        <v>NO ELEGIDO</v>
      </c>
      <c r="L137" s="10"/>
    </row>
    <row r="138" ht="15.75" customHeight="1">
      <c r="A138" s="4" t="str">
        <f t="shared" si="1"/>
        <v>712</v>
      </c>
      <c r="B138" s="4">
        <v>7.0</v>
      </c>
      <c r="C138" s="4" t="s">
        <v>45</v>
      </c>
      <c r="D138" s="28">
        <v>12.0</v>
      </c>
      <c r="E138" s="29" t="s">
        <v>200</v>
      </c>
      <c r="F138" s="4" t="s">
        <v>77</v>
      </c>
      <c r="G138" s="6">
        <v>0.0</v>
      </c>
      <c r="H138" s="30" t="str">
        <f>IF(D138=0,0,CANDCALI!$G138)</f>
        <v>  -   </v>
      </c>
      <c r="I138" s="4"/>
      <c r="J138" s="4"/>
      <c r="K138" s="4" t="str">
        <f>IF(I126&gt;=12,"ELEGIDO","NO ELEGIDO")</f>
        <v>NO ELEGIDO</v>
      </c>
      <c r="L138" s="10"/>
    </row>
    <row r="139" ht="15.75" customHeight="1">
      <c r="A139" s="4" t="str">
        <f t="shared" si="1"/>
        <v>713</v>
      </c>
      <c r="B139" s="4">
        <v>7.0</v>
      </c>
      <c r="C139" s="4" t="s">
        <v>45</v>
      </c>
      <c r="D139" s="28">
        <v>13.0</v>
      </c>
      <c r="E139" s="29" t="s">
        <v>201</v>
      </c>
      <c r="F139" s="4" t="s">
        <v>77</v>
      </c>
      <c r="G139" s="6">
        <v>0.0</v>
      </c>
      <c r="H139" s="30" t="str">
        <f>IF(D139=0,0,CANDCALI!$G139)</f>
        <v>  -   </v>
      </c>
      <c r="I139" s="4"/>
      <c r="J139" s="4"/>
      <c r="K139" s="4"/>
      <c r="L139" s="10"/>
    </row>
    <row r="140" ht="15.75" customHeight="1">
      <c r="A140" s="4" t="str">
        <f t="shared" si="1"/>
        <v>714</v>
      </c>
      <c r="B140" s="4">
        <v>7.0</v>
      </c>
      <c r="C140" s="4" t="s">
        <v>45</v>
      </c>
      <c r="D140" s="28">
        <v>14.0</v>
      </c>
      <c r="E140" s="29" t="s">
        <v>202</v>
      </c>
      <c r="F140" s="4" t="s">
        <v>77</v>
      </c>
      <c r="G140" s="6">
        <v>0.0</v>
      </c>
      <c r="H140" s="30" t="str">
        <f>IF(D140=0,0,CANDCALI!$G140)</f>
        <v>  -   </v>
      </c>
      <c r="I140" s="4"/>
      <c r="J140" s="4"/>
      <c r="K140" s="4"/>
      <c r="L140" s="10"/>
    </row>
    <row r="141" ht="15.75" customHeight="1">
      <c r="A141" s="4" t="str">
        <f t="shared" si="1"/>
        <v>715</v>
      </c>
      <c r="B141" s="4">
        <v>7.0</v>
      </c>
      <c r="C141" s="4" t="s">
        <v>45</v>
      </c>
      <c r="D141" s="28">
        <v>15.0</v>
      </c>
      <c r="E141" s="29" t="s">
        <v>203</v>
      </c>
      <c r="F141" s="4" t="s">
        <v>69</v>
      </c>
      <c r="G141" s="6">
        <v>0.0</v>
      </c>
      <c r="H141" s="30" t="str">
        <f>IF(D141=0,0,CANDCALI!$G141)</f>
        <v>  -   </v>
      </c>
      <c r="I141" s="4"/>
      <c r="J141" s="4"/>
      <c r="K141" s="4"/>
      <c r="L141" s="10"/>
    </row>
    <row r="142" ht="15.75" customHeight="1">
      <c r="A142" s="4" t="str">
        <f t="shared" si="1"/>
        <v>80</v>
      </c>
      <c r="B142" s="4">
        <v>8.0</v>
      </c>
      <c r="C142" s="4" t="s">
        <v>47</v>
      </c>
      <c r="D142" s="31">
        <v>0.0</v>
      </c>
      <c r="E142" s="24" t="s">
        <v>47</v>
      </c>
      <c r="F142" s="4"/>
      <c r="G142" s="11" t="str">
        <f>PARTIDO_ALIANZA_SOCIAL_INDEPENDIENTE_ASI-SUM(G143:G163)</f>
        <v>- 23,306 </v>
      </c>
      <c r="H142" s="24" t="str">
        <f>IF(D142=0,0,CANDCALI!$G142)</f>
        <v>0</v>
      </c>
      <c r="I142" s="26" t="str">
        <f>CIFCAL!AC9</f>
        <v>0</v>
      </c>
      <c r="J142" s="24" t="str">
        <f>LARGE(H142:H163,CANDCALI!$I142)</f>
        <v>#NUM!</v>
      </c>
      <c r="K142" s="24"/>
      <c r="L142" s="27"/>
      <c r="M142" s="27"/>
      <c r="N142" s="27"/>
      <c r="O142" s="27"/>
      <c r="P142" s="27"/>
      <c r="Q142" s="27"/>
    </row>
    <row r="143" ht="15.75" customHeight="1">
      <c r="A143" s="4" t="str">
        <f t="shared" si="1"/>
        <v>81</v>
      </c>
      <c r="B143" s="4">
        <v>8.0</v>
      </c>
      <c r="C143" s="4" t="s">
        <v>47</v>
      </c>
      <c r="D143" s="28">
        <v>1.0</v>
      </c>
      <c r="E143" s="29" t="s">
        <v>204</v>
      </c>
      <c r="F143" s="4" t="s">
        <v>77</v>
      </c>
      <c r="G143" s="6">
        <v>989.0</v>
      </c>
      <c r="H143" s="30" t="str">
        <f>IF(D143=0,0,CANDCALI!$G143)</f>
        <v>  989 </v>
      </c>
      <c r="I143" s="4"/>
      <c r="J143" s="4" t="str">
        <f t="shared" ref="J143:J163" si="7">J142</f>
        <v>#NUM!</v>
      </c>
      <c r="K143" s="24" t="str">
        <f>IF(CANDCALI!$H143&gt;=CANDCALI!$J143,"ELEGIDO","NO ELEGIDO")</f>
        <v>#NUM!</v>
      </c>
      <c r="L143" s="10"/>
    </row>
    <row r="144" ht="15.75" customHeight="1">
      <c r="A144" s="4" t="str">
        <f t="shared" si="1"/>
        <v>82</v>
      </c>
      <c r="B144" s="4">
        <v>8.0</v>
      </c>
      <c r="C144" s="4" t="s">
        <v>47</v>
      </c>
      <c r="D144" s="28">
        <v>2.0</v>
      </c>
      <c r="E144" s="29" t="s">
        <v>205</v>
      </c>
      <c r="F144" s="4" t="s">
        <v>77</v>
      </c>
      <c r="G144" s="6">
        <v>1500.0</v>
      </c>
      <c r="H144" s="30" t="str">
        <f>IF(D144=0,0,CANDCALI!$G144)</f>
        <v>  1,500 </v>
      </c>
      <c r="I144" s="4"/>
      <c r="J144" s="4" t="str">
        <f t="shared" si="7"/>
        <v>#NUM!</v>
      </c>
      <c r="K144" s="24" t="str">
        <f>IF(CANDCALI!$H144&gt;=CANDCALI!$J144,"ELEGIDO","NO ELEGIDO")</f>
        <v>#NUM!</v>
      </c>
      <c r="L144" s="10"/>
    </row>
    <row r="145" ht="15.75" customHeight="1">
      <c r="A145" s="4" t="str">
        <f t="shared" si="1"/>
        <v>83</v>
      </c>
      <c r="B145" s="4">
        <v>8.0</v>
      </c>
      <c r="C145" s="4" t="s">
        <v>47</v>
      </c>
      <c r="D145" s="28">
        <v>3.0</v>
      </c>
      <c r="E145" s="29" t="s">
        <v>206</v>
      </c>
      <c r="F145" s="4" t="s">
        <v>77</v>
      </c>
      <c r="G145" s="6">
        <v>569.0</v>
      </c>
      <c r="H145" s="30" t="str">
        <f>IF(D145=0,0,CANDCALI!$G145)</f>
        <v>  569 </v>
      </c>
      <c r="I145" s="4"/>
      <c r="J145" s="4" t="str">
        <f t="shared" si="7"/>
        <v>#NUM!</v>
      </c>
      <c r="K145" s="24" t="str">
        <f>IF(CANDCALI!$H145&gt;=CANDCALI!$J145,"ELEGIDO","NO ELEGIDO")</f>
        <v>#NUM!</v>
      </c>
      <c r="L145" s="10"/>
    </row>
    <row r="146" ht="15.75" customHeight="1">
      <c r="A146" s="4" t="str">
        <f t="shared" si="1"/>
        <v>84</v>
      </c>
      <c r="B146" s="4">
        <v>8.0</v>
      </c>
      <c r="C146" s="4" t="s">
        <v>47</v>
      </c>
      <c r="D146" s="28">
        <v>4.0</v>
      </c>
      <c r="E146" s="29" t="s">
        <v>207</v>
      </c>
      <c r="F146" s="4" t="s">
        <v>77</v>
      </c>
      <c r="G146" s="6">
        <v>478.0</v>
      </c>
      <c r="H146" s="30" t="str">
        <f>IF(D146=0,0,CANDCALI!$G146)</f>
        <v>  478 </v>
      </c>
      <c r="I146" s="4"/>
      <c r="J146" s="4" t="str">
        <f t="shared" si="7"/>
        <v>#NUM!</v>
      </c>
      <c r="K146" s="24" t="str">
        <f>IF(CANDCALI!$H146&gt;=CANDCALI!$J146,"ELEGIDO","NO ELEGIDO")</f>
        <v>#NUM!</v>
      </c>
      <c r="L146" s="10"/>
    </row>
    <row r="147" ht="15.75" customHeight="1">
      <c r="A147" s="4" t="str">
        <f t="shared" si="1"/>
        <v>85</v>
      </c>
      <c r="B147" s="4">
        <v>8.0</v>
      </c>
      <c r="C147" s="4" t="s">
        <v>47</v>
      </c>
      <c r="D147" s="28">
        <v>5.0</v>
      </c>
      <c r="E147" s="29" t="s">
        <v>208</v>
      </c>
      <c r="F147" s="4" t="s">
        <v>69</v>
      </c>
      <c r="G147" s="6">
        <v>8947.0</v>
      </c>
      <c r="H147" s="30" t="str">
        <f>IF(D147=0,0,CANDCALI!$G147)</f>
        <v>  8,947 </v>
      </c>
      <c r="I147" s="4"/>
      <c r="J147" s="4" t="str">
        <f t="shared" si="7"/>
        <v>#NUM!</v>
      </c>
      <c r="K147" s="24" t="str">
        <f>IF(CANDCALI!$H147&gt;=CANDCALI!$J147,"ELEGIDO","NO ELEGIDO")</f>
        <v>#NUM!</v>
      </c>
      <c r="L147" s="10"/>
    </row>
    <row r="148" ht="15.75" customHeight="1">
      <c r="A148" s="4" t="str">
        <f t="shared" si="1"/>
        <v>86</v>
      </c>
      <c r="B148" s="4">
        <v>8.0</v>
      </c>
      <c r="C148" s="4" t="s">
        <v>47</v>
      </c>
      <c r="D148" s="28">
        <v>6.0</v>
      </c>
      <c r="E148" s="29" t="s">
        <v>209</v>
      </c>
      <c r="F148" s="4" t="s">
        <v>69</v>
      </c>
      <c r="G148" s="6">
        <v>100.0</v>
      </c>
      <c r="H148" s="30" t="str">
        <f>IF(D148=0,0,CANDCALI!$G148)</f>
        <v>  100 </v>
      </c>
      <c r="I148" s="4"/>
      <c r="J148" s="4" t="str">
        <f t="shared" si="7"/>
        <v>#NUM!</v>
      </c>
      <c r="K148" s="24" t="str">
        <f>IF(CANDCALI!$H148&gt;=CANDCALI!$J148,"ELEGIDO","NO ELEGIDO")</f>
        <v>#NUM!</v>
      </c>
      <c r="L148" s="10"/>
    </row>
    <row r="149" ht="15.75" customHeight="1">
      <c r="A149" s="4" t="str">
        <f t="shared" si="1"/>
        <v>87</v>
      </c>
      <c r="B149" s="4">
        <v>8.0</v>
      </c>
      <c r="C149" s="4" t="s">
        <v>47</v>
      </c>
      <c r="D149" s="28">
        <v>7.0</v>
      </c>
      <c r="E149" s="29" t="s">
        <v>210</v>
      </c>
      <c r="F149" s="4" t="s">
        <v>69</v>
      </c>
      <c r="G149" s="6">
        <v>259.0</v>
      </c>
      <c r="H149" s="30" t="str">
        <f>IF(D149=0,0,CANDCALI!$G149)</f>
        <v>  259 </v>
      </c>
      <c r="I149" s="4"/>
      <c r="J149" s="4" t="str">
        <f t="shared" si="7"/>
        <v>#NUM!</v>
      </c>
      <c r="K149" s="24" t="str">
        <f>IF(CANDCALI!$H149&gt;=CANDCALI!$J149,"ELEGIDO","NO ELEGIDO")</f>
        <v>#NUM!</v>
      </c>
      <c r="L149" s="10"/>
    </row>
    <row r="150" ht="15.75" customHeight="1">
      <c r="A150" s="4" t="str">
        <f t="shared" si="1"/>
        <v>88</v>
      </c>
      <c r="B150" s="4">
        <v>8.0</v>
      </c>
      <c r="C150" s="4" t="s">
        <v>47</v>
      </c>
      <c r="D150" s="28">
        <v>8.0</v>
      </c>
      <c r="E150" s="29" t="s">
        <v>211</v>
      </c>
      <c r="F150" s="4" t="s">
        <v>69</v>
      </c>
      <c r="G150" s="6">
        <v>7456.0</v>
      </c>
      <c r="H150" s="30" t="str">
        <f>IF(D150=0,0,CANDCALI!$G150)</f>
        <v>  7,456 </v>
      </c>
      <c r="I150" s="4"/>
      <c r="J150" s="4" t="str">
        <f t="shared" si="7"/>
        <v>#NUM!</v>
      </c>
      <c r="K150" s="24" t="str">
        <f>IF(CANDCALI!$H150&gt;=CANDCALI!$J150,"ELEGIDO","NO ELEGIDO")</f>
        <v>#NUM!</v>
      </c>
      <c r="L150" s="10"/>
    </row>
    <row r="151" ht="15.75" customHeight="1">
      <c r="A151" s="4" t="str">
        <f t="shared" si="1"/>
        <v>89</v>
      </c>
      <c r="B151" s="4">
        <v>8.0</v>
      </c>
      <c r="C151" s="4" t="s">
        <v>47</v>
      </c>
      <c r="D151" s="28">
        <v>9.0</v>
      </c>
      <c r="E151" s="29" t="s">
        <v>212</v>
      </c>
      <c r="F151" s="4" t="s">
        <v>69</v>
      </c>
      <c r="G151" s="6">
        <v>119.0</v>
      </c>
      <c r="H151" s="30" t="str">
        <f>IF(D151=0,0,CANDCALI!$G151)</f>
        <v>  119 </v>
      </c>
      <c r="I151" s="4"/>
      <c r="J151" s="4" t="str">
        <f t="shared" si="7"/>
        <v>#NUM!</v>
      </c>
      <c r="K151" s="24" t="str">
        <f>IF(CANDCALI!$H151&gt;=CANDCALI!$J151,"ELEGIDO","NO ELEGIDO")</f>
        <v>#NUM!</v>
      </c>
      <c r="L151" s="10"/>
    </row>
    <row r="152" ht="15.75" customHeight="1">
      <c r="A152" s="4" t="str">
        <f t="shared" si="1"/>
        <v>810</v>
      </c>
      <c r="B152" s="4">
        <v>8.0</v>
      </c>
      <c r="C152" s="4" t="s">
        <v>47</v>
      </c>
      <c r="D152" s="28">
        <v>10.0</v>
      </c>
      <c r="E152" s="29" t="s">
        <v>213</v>
      </c>
      <c r="F152" s="4" t="s">
        <v>77</v>
      </c>
      <c r="G152" s="6">
        <v>778.0</v>
      </c>
      <c r="H152" s="30" t="str">
        <f>IF(D152=0,0,CANDCALI!$G152)</f>
        <v>  778 </v>
      </c>
      <c r="I152" s="4"/>
      <c r="J152" s="4" t="str">
        <f t="shared" si="7"/>
        <v>#NUM!</v>
      </c>
      <c r="K152" s="24" t="str">
        <f>IF(CANDCALI!$H152&gt;=CANDCALI!$J152,"ELEGIDO","NO ELEGIDO")</f>
        <v>#NUM!</v>
      </c>
      <c r="L152" s="10"/>
    </row>
    <row r="153" ht="15.75" customHeight="1">
      <c r="A153" s="4" t="str">
        <f t="shared" si="1"/>
        <v>811</v>
      </c>
      <c r="B153" s="4">
        <v>8.0</v>
      </c>
      <c r="C153" s="4" t="s">
        <v>47</v>
      </c>
      <c r="D153" s="28">
        <v>11.0</v>
      </c>
      <c r="E153" s="29" t="s">
        <v>214</v>
      </c>
      <c r="F153" s="4" t="s">
        <v>77</v>
      </c>
      <c r="G153" s="6">
        <v>2856.0</v>
      </c>
      <c r="H153" s="30" t="str">
        <f>IF(D153=0,0,CANDCALI!$G153)</f>
        <v>  2,856 </v>
      </c>
      <c r="I153" s="4"/>
      <c r="J153" s="4" t="str">
        <f t="shared" si="7"/>
        <v>#NUM!</v>
      </c>
      <c r="K153" s="24" t="str">
        <f>IF(CANDCALI!$H153&gt;=CANDCALI!$J153,"ELEGIDO","NO ELEGIDO")</f>
        <v>#NUM!</v>
      </c>
      <c r="L153" s="10"/>
    </row>
    <row r="154" ht="15.75" customHeight="1">
      <c r="A154" s="4" t="str">
        <f t="shared" si="1"/>
        <v>812</v>
      </c>
      <c r="B154" s="4">
        <v>8.0</v>
      </c>
      <c r="C154" s="4" t="s">
        <v>47</v>
      </c>
      <c r="D154" s="28">
        <v>12.0</v>
      </c>
      <c r="E154" s="29" t="s">
        <v>215</v>
      </c>
      <c r="F154" s="4" t="s">
        <v>77</v>
      </c>
      <c r="G154" s="6">
        <v>1260.0</v>
      </c>
      <c r="H154" s="30" t="str">
        <f>IF(D154=0,0,CANDCALI!$G154)</f>
        <v>  1,260 </v>
      </c>
      <c r="I154" s="4"/>
      <c r="J154" s="4" t="str">
        <f t="shared" si="7"/>
        <v>#NUM!</v>
      </c>
      <c r="K154" s="24" t="str">
        <f>IF(CANDCALI!$H154&gt;=CANDCALI!$J154,"ELEGIDO","NO ELEGIDO")</f>
        <v>#NUM!</v>
      </c>
      <c r="L154" s="10"/>
    </row>
    <row r="155" ht="15.75" customHeight="1">
      <c r="A155" s="4" t="str">
        <f t="shared" si="1"/>
        <v>813</v>
      </c>
      <c r="B155" s="4">
        <v>8.0</v>
      </c>
      <c r="C155" s="4" t="s">
        <v>47</v>
      </c>
      <c r="D155" s="28">
        <v>13.0</v>
      </c>
      <c r="E155" s="29" t="s">
        <v>216</v>
      </c>
      <c r="F155" s="4" t="s">
        <v>77</v>
      </c>
      <c r="G155" s="6">
        <v>569.0</v>
      </c>
      <c r="H155" s="30" t="str">
        <f>IF(D155=0,0,CANDCALI!$G155)</f>
        <v>  569 </v>
      </c>
      <c r="I155" s="4"/>
      <c r="J155" s="4" t="str">
        <f t="shared" si="7"/>
        <v>#NUM!</v>
      </c>
      <c r="K155" s="24" t="str">
        <f>IF(CANDCALI!$H155&gt;=CANDCALI!$J155,"ELEGIDO","NO ELEGIDO")</f>
        <v>#NUM!</v>
      </c>
      <c r="L155" s="10"/>
    </row>
    <row r="156" ht="15.75" customHeight="1">
      <c r="A156" s="4" t="str">
        <f t="shared" si="1"/>
        <v>814</v>
      </c>
      <c r="B156" s="4">
        <v>8.0</v>
      </c>
      <c r="C156" s="4" t="s">
        <v>47</v>
      </c>
      <c r="D156" s="28">
        <v>14.0</v>
      </c>
      <c r="E156" s="29" t="s">
        <v>217</v>
      </c>
      <c r="F156" s="4" t="s">
        <v>77</v>
      </c>
      <c r="G156" s="6">
        <v>23.0</v>
      </c>
      <c r="H156" s="30" t="str">
        <f>IF(D156=0,0,CANDCALI!$G156)</f>
        <v>  23 </v>
      </c>
      <c r="I156" s="4"/>
      <c r="J156" s="4" t="str">
        <f t="shared" si="7"/>
        <v>#NUM!</v>
      </c>
      <c r="K156" s="24" t="str">
        <f>IF(CANDCALI!$H156&gt;=CANDCALI!$J156,"ELEGIDO","NO ELEGIDO")</f>
        <v>#NUM!</v>
      </c>
      <c r="L156" s="10"/>
    </row>
    <row r="157" ht="15.75" customHeight="1">
      <c r="A157" s="4" t="str">
        <f t="shared" si="1"/>
        <v>815</v>
      </c>
      <c r="B157" s="4">
        <v>8.0</v>
      </c>
      <c r="C157" s="4" t="s">
        <v>47</v>
      </c>
      <c r="D157" s="28">
        <v>15.0</v>
      </c>
      <c r="E157" s="29" t="s">
        <v>218</v>
      </c>
      <c r="F157" s="4" t="s">
        <v>69</v>
      </c>
      <c r="G157" s="6">
        <v>15.0</v>
      </c>
      <c r="H157" s="30" t="str">
        <f>IF(D157=0,0,CANDCALI!$G157)</f>
        <v>  15 </v>
      </c>
      <c r="I157" s="4"/>
      <c r="J157" s="4" t="str">
        <f t="shared" si="7"/>
        <v>#NUM!</v>
      </c>
      <c r="K157" s="24" t="str">
        <f>IF(CANDCALI!$H157&gt;=CANDCALI!$J157,"ELEGIDO","NO ELEGIDO")</f>
        <v>#NUM!</v>
      </c>
      <c r="L157" s="10"/>
    </row>
    <row r="158" ht="15.75" customHeight="1">
      <c r="A158" s="4" t="str">
        <f t="shared" si="1"/>
        <v>816</v>
      </c>
      <c r="B158" s="4">
        <v>8.0</v>
      </c>
      <c r="C158" s="4" t="s">
        <v>47</v>
      </c>
      <c r="D158" s="28">
        <v>16.0</v>
      </c>
      <c r="E158" s="29" t="s">
        <v>219</v>
      </c>
      <c r="F158" s="4" t="s">
        <v>77</v>
      </c>
      <c r="G158" s="6">
        <v>78.0</v>
      </c>
      <c r="H158" s="30" t="str">
        <f>IF(D158=0,0,CANDCALI!$G158)</f>
        <v>  78 </v>
      </c>
      <c r="I158" s="4"/>
      <c r="J158" s="4" t="str">
        <f t="shared" si="7"/>
        <v>#NUM!</v>
      </c>
      <c r="K158" s="24" t="str">
        <f>IF(CANDCALI!$H158&gt;=CANDCALI!$J158,"ELEGIDO","NO ELEGIDO")</f>
        <v>#NUM!</v>
      </c>
      <c r="L158" s="10"/>
    </row>
    <row r="159" ht="15.75" customHeight="1">
      <c r="A159" s="4" t="str">
        <f t="shared" si="1"/>
        <v>817</v>
      </c>
      <c r="B159" s="4">
        <v>8.0</v>
      </c>
      <c r="C159" s="4" t="s">
        <v>47</v>
      </c>
      <c r="D159" s="28">
        <v>17.0</v>
      </c>
      <c r="E159" s="29" t="s">
        <v>220</v>
      </c>
      <c r="F159" s="4" t="s">
        <v>69</v>
      </c>
      <c r="G159" s="6">
        <v>1489.0</v>
      </c>
      <c r="H159" s="30" t="str">
        <f>IF(D159=0,0,CANDCALI!$G159)</f>
        <v>  1,489 </v>
      </c>
      <c r="I159" s="4"/>
      <c r="J159" s="4" t="str">
        <f t="shared" si="7"/>
        <v>#NUM!</v>
      </c>
      <c r="K159" s="24" t="str">
        <f>IF(CANDCALI!$H159&gt;=CANDCALI!$J159,"ELEGIDO","NO ELEGIDO")</f>
        <v>#NUM!</v>
      </c>
      <c r="L159" s="10"/>
    </row>
    <row r="160" ht="15.75" customHeight="1">
      <c r="A160" s="4" t="str">
        <f t="shared" si="1"/>
        <v>818</v>
      </c>
      <c r="B160" s="4">
        <v>8.0</v>
      </c>
      <c r="C160" s="4" t="s">
        <v>47</v>
      </c>
      <c r="D160" s="28">
        <v>18.0</v>
      </c>
      <c r="E160" s="29" t="s">
        <v>221</v>
      </c>
      <c r="F160" s="4" t="s">
        <v>77</v>
      </c>
      <c r="G160" s="6">
        <v>3.0</v>
      </c>
      <c r="H160" s="30" t="str">
        <f>IF(D160=0,0,CANDCALI!$G160)</f>
        <v>  3 </v>
      </c>
      <c r="I160" s="4"/>
      <c r="J160" s="4" t="str">
        <f t="shared" si="7"/>
        <v>#NUM!</v>
      </c>
      <c r="K160" s="24" t="str">
        <f>IF(CANDCALI!$H160&gt;=CANDCALI!$J160,"ELEGIDO","NO ELEGIDO")</f>
        <v>#NUM!</v>
      </c>
      <c r="L160" s="10"/>
    </row>
    <row r="161" ht="15.75" customHeight="1">
      <c r="A161" s="4" t="str">
        <f t="shared" si="1"/>
        <v>819</v>
      </c>
      <c r="B161" s="4">
        <v>8.0</v>
      </c>
      <c r="C161" s="4" t="s">
        <v>47</v>
      </c>
      <c r="D161" s="28">
        <v>19.0</v>
      </c>
      <c r="E161" s="29" t="s">
        <v>222</v>
      </c>
      <c r="F161" s="4" t="s">
        <v>77</v>
      </c>
      <c r="G161" s="6">
        <v>25.0</v>
      </c>
      <c r="H161" s="30" t="str">
        <f>IF(D161=0,0,CANDCALI!$G161)</f>
        <v>  25 </v>
      </c>
      <c r="I161" s="4"/>
      <c r="J161" s="4" t="str">
        <f t="shared" si="7"/>
        <v>#NUM!</v>
      </c>
      <c r="K161" s="24" t="str">
        <f>IF(CANDCALI!$H161&gt;=CANDCALI!$J161,"ELEGIDO","NO ELEGIDO")</f>
        <v>#NUM!</v>
      </c>
      <c r="L161" s="10"/>
    </row>
    <row r="162" ht="15.75" customHeight="1">
      <c r="A162" s="4" t="str">
        <f t="shared" si="1"/>
        <v>820</v>
      </c>
      <c r="B162" s="4">
        <v>8.0</v>
      </c>
      <c r="C162" s="4" t="s">
        <v>47</v>
      </c>
      <c r="D162" s="28">
        <v>20.0</v>
      </c>
      <c r="E162" s="29" t="s">
        <v>223</v>
      </c>
      <c r="F162" s="4" t="s">
        <v>77</v>
      </c>
      <c r="G162" s="6">
        <v>13.0</v>
      </c>
      <c r="H162" s="30" t="str">
        <f>IF(D162=0,0,CANDCALI!$G162)</f>
        <v>  13 </v>
      </c>
      <c r="I162" s="4"/>
      <c r="J162" s="4" t="str">
        <f t="shared" si="7"/>
        <v>#NUM!</v>
      </c>
      <c r="K162" s="24" t="str">
        <f>IF(CANDCALI!$H162&gt;=CANDCALI!$J162,"ELEGIDO","NO ELEGIDO")</f>
        <v>#NUM!</v>
      </c>
      <c r="L162" s="10"/>
    </row>
    <row r="163" ht="15.75" customHeight="1">
      <c r="A163" s="4" t="str">
        <f t="shared" si="1"/>
        <v>821</v>
      </c>
      <c r="B163" s="4">
        <v>8.0</v>
      </c>
      <c r="C163" s="4" t="s">
        <v>47</v>
      </c>
      <c r="D163" s="28">
        <v>21.0</v>
      </c>
      <c r="E163" s="29" t="s">
        <v>224</v>
      </c>
      <c r="F163" s="4" t="s">
        <v>77</v>
      </c>
      <c r="G163" s="6">
        <v>5890.0</v>
      </c>
      <c r="H163" s="30" t="str">
        <f>IF(D163=0,0,CANDCALI!$G163)</f>
        <v>  5,890 </v>
      </c>
      <c r="I163" s="4"/>
      <c r="J163" s="4" t="str">
        <f t="shared" si="7"/>
        <v>#NUM!</v>
      </c>
      <c r="K163" s="24" t="str">
        <f>IF(CANDCALI!$H163&gt;=CANDCALI!$J163,"ELEGIDO","NO ELEGIDO")</f>
        <v>#NUM!</v>
      </c>
      <c r="L163" s="10"/>
    </row>
    <row r="164" ht="15.75" customHeight="1">
      <c r="A164" s="4" t="str">
        <f t="shared" si="1"/>
        <v>90</v>
      </c>
      <c r="B164" s="4">
        <v>9.0</v>
      </c>
      <c r="C164" s="4" t="s">
        <v>49</v>
      </c>
      <c r="D164" s="31">
        <v>0.0</v>
      </c>
      <c r="E164" s="24" t="s">
        <v>49</v>
      </c>
      <c r="F164" s="4"/>
      <c r="G164" s="11" t="str">
        <f>PARTIDO_ALIANZA_VERDE-SUM(G165:G185)</f>
        <v>  10,560 </v>
      </c>
      <c r="H164" s="24" t="str">
        <f>IF(D164=0,0,CANDCALI!$G164)</f>
        <v>0</v>
      </c>
      <c r="I164" s="26" t="str">
        <f>CIFCAL!AC10</f>
        <v>1</v>
      </c>
      <c r="J164" s="24" t="str">
        <f>LARGE(H164:H185,CANDCALI!$I164)</f>
        <v>7500</v>
      </c>
      <c r="K164" s="24"/>
      <c r="L164" s="27"/>
      <c r="M164" s="27"/>
      <c r="N164" s="27"/>
      <c r="O164" s="27"/>
      <c r="P164" s="27"/>
      <c r="Q164" s="27"/>
    </row>
    <row r="165" ht="15.75" customHeight="1">
      <c r="A165" s="4" t="str">
        <f t="shared" si="1"/>
        <v>91</v>
      </c>
      <c r="B165" s="4">
        <v>9.0</v>
      </c>
      <c r="C165" s="4" t="s">
        <v>49</v>
      </c>
      <c r="D165" s="28">
        <v>1.0</v>
      </c>
      <c r="E165" s="29" t="s">
        <v>225</v>
      </c>
      <c r="F165" s="4" t="s">
        <v>77</v>
      </c>
      <c r="G165" s="6">
        <v>3897.0</v>
      </c>
      <c r="H165" s="30" t="str">
        <f>IF(D165=0,0,CANDCALI!$G165)</f>
        <v>  3,897 </v>
      </c>
      <c r="I165" s="4"/>
      <c r="J165" s="4" t="str">
        <f t="shared" ref="J165:J185" si="8">J164</f>
        <v>7500</v>
      </c>
      <c r="K165" s="24" t="str">
        <f>IF(CANDCALI!$H165&gt;=CANDCALI!$J165,"ELEGIDO","NO ELEGIDO")</f>
        <v>NO ELEGIDO</v>
      </c>
      <c r="L165" s="10"/>
    </row>
    <row r="166" ht="15.75" customHeight="1">
      <c r="A166" s="4" t="str">
        <f t="shared" si="1"/>
        <v>92</v>
      </c>
      <c r="B166" s="4">
        <v>9.0</v>
      </c>
      <c r="C166" s="4" t="s">
        <v>49</v>
      </c>
      <c r="D166" s="28">
        <v>2.0</v>
      </c>
      <c r="E166" s="29" t="s">
        <v>226</v>
      </c>
      <c r="F166" s="4" t="s">
        <v>77</v>
      </c>
      <c r="G166" s="6">
        <v>77.0</v>
      </c>
      <c r="H166" s="30" t="str">
        <f>IF(D166=0,0,CANDCALI!$G166)</f>
        <v>  77 </v>
      </c>
      <c r="I166" s="4"/>
      <c r="J166" s="4" t="str">
        <f t="shared" si="8"/>
        <v>7500</v>
      </c>
      <c r="K166" s="24" t="str">
        <f>IF(CANDCALI!$H166&gt;=CANDCALI!$J166,"ELEGIDO","NO ELEGIDO")</f>
        <v>NO ELEGIDO</v>
      </c>
      <c r="L166" s="10"/>
    </row>
    <row r="167" ht="15.75" customHeight="1">
      <c r="A167" s="4" t="str">
        <f t="shared" si="1"/>
        <v>93</v>
      </c>
      <c r="B167" s="4">
        <v>9.0</v>
      </c>
      <c r="C167" s="4" t="s">
        <v>49</v>
      </c>
      <c r="D167" s="28">
        <v>3.0</v>
      </c>
      <c r="E167" s="29" t="s">
        <v>227</v>
      </c>
      <c r="F167" s="4" t="s">
        <v>69</v>
      </c>
      <c r="G167" s="6">
        <v>125.0</v>
      </c>
      <c r="H167" s="30" t="str">
        <f>IF(D167=0,0,CANDCALI!$G167)</f>
        <v>  125 </v>
      </c>
      <c r="I167" s="4"/>
      <c r="J167" s="4" t="str">
        <f t="shared" si="8"/>
        <v>7500</v>
      </c>
      <c r="K167" s="24" t="str">
        <f>IF(CANDCALI!$H167&gt;=CANDCALI!$J167,"ELEGIDO","NO ELEGIDO")</f>
        <v>NO ELEGIDO</v>
      </c>
      <c r="L167" s="10"/>
    </row>
    <row r="168" ht="15.75" customHeight="1">
      <c r="A168" s="4" t="str">
        <f t="shared" si="1"/>
        <v>94</v>
      </c>
      <c r="B168" s="4">
        <v>9.0</v>
      </c>
      <c r="C168" s="4" t="s">
        <v>49</v>
      </c>
      <c r="D168" s="28">
        <v>4.0</v>
      </c>
      <c r="E168" s="29" t="s">
        <v>228</v>
      </c>
      <c r="F168" s="4" t="s">
        <v>77</v>
      </c>
      <c r="G168" s="6">
        <v>1598.0</v>
      </c>
      <c r="H168" s="30" t="str">
        <f>IF(D168=0,0,CANDCALI!$G168)</f>
        <v>  1,598 </v>
      </c>
      <c r="I168" s="4"/>
      <c r="J168" s="4" t="str">
        <f t="shared" si="8"/>
        <v>7500</v>
      </c>
      <c r="K168" s="24" t="str">
        <f>IF(CANDCALI!$H168&gt;=CANDCALI!$J168,"ELEGIDO","NO ELEGIDO")</f>
        <v>NO ELEGIDO</v>
      </c>
      <c r="L168" s="10"/>
    </row>
    <row r="169" ht="15.75" customHeight="1">
      <c r="A169" s="4" t="str">
        <f t="shared" si="1"/>
        <v>95</v>
      </c>
      <c r="B169" s="4">
        <v>9.0</v>
      </c>
      <c r="C169" s="4" t="s">
        <v>49</v>
      </c>
      <c r="D169" s="28">
        <v>5.0</v>
      </c>
      <c r="E169" s="29" t="s">
        <v>229</v>
      </c>
      <c r="F169" s="4" t="s">
        <v>77</v>
      </c>
      <c r="G169" s="6">
        <v>6987.0</v>
      </c>
      <c r="H169" s="30" t="str">
        <f>IF(D169=0,0,CANDCALI!$G169)</f>
        <v>  6,987 </v>
      </c>
      <c r="I169" s="4"/>
      <c r="J169" s="4" t="str">
        <f t="shared" si="8"/>
        <v>7500</v>
      </c>
      <c r="K169" s="24" t="str">
        <f>IF(CANDCALI!$H169&gt;=CANDCALI!$J169,"ELEGIDO","NO ELEGIDO")</f>
        <v>NO ELEGIDO</v>
      </c>
      <c r="L169" s="10"/>
    </row>
    <row r="170" ht="15.75" customHeight="1">
      <c r="A170" s="4" t="str">
        <f t="shared" si="1"/>
        <v>96</v>
      </c>
      <c r="B170" s="4">
        <v>9.0</v>
      </c>
      <c r="C170" s="4" t="s">
        <v>49</v>
      </c>
      <c r="D170" s="28">
        <v>6.0</v>
      </c>
      <c r="E170" s="29" t="s">
        <v>230</v>
      </c>
      <c r="F170" s="4" t="s">
        <v>69</v>
      </c>
      <c r="G170" s="6">
        <v>100.0</v>
      </c>
      <c r="H170" s="30" t="str">
        <f>IF(D170=0,0,CANDCALI!$G170)</f>
        <v>  100 </v>
      </c>
      <c r="I170" s="4"/>
      <c r="J170" s="4" t="str">
        <f t="shared" si="8"/>
        <v>7500</v>
      </c>
      <c r="K170" s="24" t="str">
        <f>IF(CANDCALI!$H170&gt;=CANDCALI!$J170,"ELEGIDO","NO ELEGIDO")</f>
        <v>NO ELEGIDO</v>
      </c>
      <c r="L170" s="10"/>
    </row>
    <row r="171" ht="15.75" customHeight="1">
      <c r="A171" s="4" t="str">
        <f t="shared" si="1"/>
        <v>97</v>
      </c>
      <c r="B171" s="4">
        <v>9.0</v>
      </c>
      <c r="C171" s="4" t="s">
        <v>49</v>
      </c>
      <c r="D171" s="28">
        <v>7.0</v>
      </c>
      <c r="E171" s="29" t="s">
        <v>231</v>
      </c>
      <c r="F171" s="4" t="s">
        <v>77</v>
      </c>
      <c r="G171" s="6">
        <v>5900.0</v>
      </c>
      <c r="H171" s="30" t="str">
        <f>IF(D171=0,0,CANDCALI!$G171)</f>
        <v>  5,900 </v>
      </c>
      <c r="I171" s="4"/>
      <c r="J171" s="4" t="str">
        <f t="shared" si="8"/>
        <v>7500</v>
      </c>
      <c r="K171" s="24" t="str">
        <f>IF(CANDCALI!$H171&gt;=CANDCALI!$J171,"ELEGIDO","NO ELEGIDO")</f>
        <v>NO ELEGIDO</v>
      </c>
      <c r="L171" s="10"/>
    </row>
    <row r="172" ht="15.75" customHeight="1">
      <c r="A172" s="4" t="str">
        <f t="shared" si="1"/>
        <v>98</v>
      </c>
      <c r="B172" s="4">
        <v>9.0</v>
      </c>
      <c r="C172" s="4" t="s">
        <v>49</v>
      </c>
      <c r="D172" s="28">
        <v>8.0</v>
      </c>
      <c r="E172" s="29" t="s">
        <v>232</v>
      </c>
      <c r="F172" s="4" t="s">
        <v>69</v>
      </c>
      <c r="G172" s="6">
        <v>145.0</v>
      </c>
      <c r="H172" s="30" t="str">
        <f>IF(D172=0,0,CANDCALI!$G172)</f>
        <v>  145 </v>
      </c>
      <c r="I172" s="4"/>
      <c r="J172" s="4" t="str">
        <f t="shared" si="8"/>
        <v>7500</v>
      </c>
      <c r="K172" s="24" t="str">
        <f>IF(CANDCALI!$H172&gt;=CANDCALI!$J172,"ELEGIDO","NO ELEGIDO")</f>
        <v>NO ELEGIDO</v>
      </c>
      <c r="L172" s="10"/>
    </row>
    <row r="173" ht="15.75" customHeight="1">
      <c r="A173" s="4" t="str">
        <f t="shared" si="1"/>
        <v>99</v>
      </c>
      <c r="B173" s="4">
        <v>9.0</v>
      </c>
      <c r="C173" s="4" t="s">
        <v>49</v>
      </c>
      <c r="D173" s="28">
        <v>9.0</v>
      </c>
      <c r="E173" s="29" t="s">
        <v>233</v>
      </c>
      <c r="F173" s="4" t="s">
        <v>77</v>
      </c>
      <c r="G173" s="6">
        <v>3690.0</v>
      </c>
      <c r="H173" s="30" t="str">
        <f>IF(D173=0,0,CANDCALI!$G173)</f>
        <v>  3,690 </v>
      </c>
      <c r="I173" s="4"/>
      <c r="J173" s="4" t="str">
        <f t="shared" si="8"/>
        <v>7500</v>
      </c>
      <c r="K173" s="24" t="str">
        <f>IF(CANDCALI!$H173&gt;=CANDCALI!$J173,"ELEGIDO","NO ELEGIDO")</f>
        <v>NO ELEGIDO</v>
      </c>
      <c r="L173" s="10"/>
    </row>
    <row r="174" ht="15.75" customHeight="1">
      <c r="A174" s="4" t="str">
        <f t="shared" si="1"/>
        <v>910</v>
      </c>
      <c r="B174" s="4">
        <v>9.0</v>
      </c>
      <c r="C174" s="4" t="s">
        <v>49</v>
      </c>
      <c r="D174" s="28">
        <v>10.0</v>
      </c>
      <c r="E174" s="29" t="s">
        <v>234</v>
      </c>
      <c r="F174" s="4" t="s">
        <v>77</v>
      </c>
      <c r="G174" s="6">
        <v>2.0</v>
      </c>
      <c r="H174" s="30" t="str">
        <f>IF(D174=0,0,CANDCALI!$G174)</f>
        <v>  2 </v>
      </c>
      <c r="I174" s="4"/>
      <c r="J174" s="4" t="str">
        <f t="shared" si="8"/>
        <v>7500</v>
      </c>
      <c r="K174" s="24" t="str">
        <f>IF(CANDCALI!$H174&gt;=CANDCALI!$J174,"ELEGIDO","NO ELEGIDO")</f>
        <v>NO ELEGIDO</v>
      </c>
      <c r="L174" s="10"/>
    </row>
    <row r="175" ht="15.75" customHeight="1">
      <c r="A175" s="4" t="str">
        <f t="shared" si="1"/>
        <v>911</v>
      </c>
      <c r="B175" s="4">
        <v>9.0</v>
      </c>
      <c r="C175" s="4" t="s">
        <v>49</v>
      </c>
      <c r="D175" s="28">
        <v>11.0</v>
      </c>
      <c r="E175" s="29" t="s">
        <v>235</v>
      </c>
      <c r="F175" s="4" t="s">
        <v>77</v>
      </c>
      <c r="G175" s="6">
        <v>27.0</v>
      </c>
      <c r="H175" s="30" t="str">
        <f>IF(D175=0,0,CANDCALI!$G175)</f>
        <v>  27 </v>
      </c>
      <c r="I175" s="4"/>
      <c r="J175" s="4" t="str">
        <f t="shared" si="8"/>
        <v>7500</v>
      </c>
      <c r="K175" s="24" t="str">
        <f>IF(CANDCALI!$H175&gt;=CANDCALI!$J175,"ELEGIDO","NO ELEGIDO")</f>
        <v>NO ELEGIDO</v>
      </c>
      <c r="L175" s="10"/>
    </row>
    <row r="176" ht="15.75" customHeight="1">
      <c r="A176" s="4" t="str">
        <f t="shared" si="1"/>
        <v>912</v>
      </c>
      <c r="B176" s="4">
        <v>9.0</v>
      </c>
      <c r="C176" s="4" t="s">
        <v>49</v>
      </c>
      <c r="D176" s="28">
        <v>12.0</v>
      </c>
      <c r="E176" s="29" t="s">
        <v>236</v>
      </c>
      <c r="F176" s="4" t="s">
        <v>77</v>
      </c>
      <c r="G176" s="6">
        <v>1450.0</v>
      </c>
      <c r="H176" s="30" t="str">
        <f>IF(D176=0,0,CANDCALI!$G176)</f>
        <v>  1,450 </v>
      </c>
      <c r="I176" s="4"/>
      <c r="J176" s="4" t="str">
        <f t="shared" si="8"/>
        <v>7500</v>
      </c>
      <c r="K176" s="24" t="str">
        <f>IF(CANDCALI!$H176&gt;=CANDCALI!$J176,"ELEGIDO","NO ELEGIDO")</f>
        <v>NO ELEGIDO</v>
      </c>
      <c r="L176" s="10"/>
    </row>
    <row r="177" ht="15.75" customHeight="1">
      <c r="A177" s="4" t="str">
        <f t="shared" si="1"/>
        <v>913</v>
      </c>
      <c r="B177" s="4">
        <v>9.0</v>
      </c>
      <c r="C177" s="4" t="s">
        <v>49</v>
      </c>
      <c r="D177" s="28">
        <v>13.0</v>
      </c>
      <c r="E177" s="29" t="s">
        <v>237</v>
      </c>
      <c r="F177" s="4" t="s">
        <v>69</v>
      </c>
      <c r="G177" s="6">
        <v>1100.0</v>
      </c>
      <c r="H177" s="30" t="str">
        <f>IF(D177=0,0,CANDCALI!$G177)</f>
        <v>  1,100 </v>
      </c>
      <c r="I177" s="4"/>
      <c r="J177" s="4" t="str">
        <f t="shared" si="8"/>
        <v>7500</v>
      </c>
      <c r="K177" s="24" t="str">
        <f>IF(CANDCALI!$H177&gt;=CANDCALI!$J177,"ELEGIDO","NO ELEGIDO")</f>
        <v>NO ELEGIDO</v>
      </c>
      <c r="L177" s="10"/>
    </row>
    <row r="178" ht="15.75" customHeight="1">
      <c r="A178" s="4" t="str">
        <f t="shared" si="1"/>
        <v>914</v>
      </c>
      <c r="B178" s="4">
        <v>9.0</v>
      </c>
      <c r="C178" s="4" t="s">
        <v>49</v>
      </c>
      <c r="D178" s="28">
        <v>14.0</v>
      </c>
      <c r="E178" s="29" t="s">
        <v>238</v>
      </c>
      <c r="F178" s="4" t="s">
        <v>77</v>
      </c>
      <c r="G178" s="6">
        <v>25.0</v>
      </c>
      <c r="H178" s="30" t="str">
        <f>IF(D178=0,0,CANDCALI!$G178)</f>
        <v>  25 </v>
      </c>
      <c r="I178" s="4"/>
      <c r="J178" s="4" t="str">
        <f t="shared" si="8"/>
        <v>7500</v>
      </c>
      <c r="K178" s="24" t="str">
        <f>IF(CANDCALI!$H178&gt;=CANDCALI!$J178,"ELEGIDO","NO ELEGIDO")</f>
        <v>NO ELEGIDO</v>
      </c>
      <c r="L178" s="10"/>
    </row>
    <row r="179" ht="15.75" customHeight="1">
      <c r="A179" s="4" t="str">
        <f t="shared" si="1"/>
        <v>915</v>
      </c>
      <c r="B179" s="4">
        <v>9.0</v>
      </c>
      <c r="C179" s="4" t="s">
        <v>49</v>
      </c>
      <c r="D179" s="28">
        <v>15.0</v>
      </c>
      <c r="E179" s="29" t="s">
        <v>239</v>
      </c>
      <c r="F179" s="4" t="s">
        <v>77</v>
      </c>
      <c r="G179" s="6">
        <v>122.0</v>
      </c>
      <c r="H179" s="30" t="str">
        <f>IF(D179=0,0,CANDCALI!$G179)</f>
        <v>  122 </v>
      </c>
      <c r="I179" s="4"/>
      <c r="J179" s="4" t="str">
        <f t="shared" si="8"/>
        <v>7500</v>
      </c>
      <c r="K179" s="24" t="str">
        <f>IF(CANDCALI!$H179&gt;=CANDCALI!$J179,"ELEGIDO","NO ELEGIDO")</f>
        <v>NO ELEGIDO</v>
      </c>
      <c r="L179" s="10"/>
    </row>
    <row r="180" ht="15.75" customHeight="1">
      <c r="A180" s="4" t="str">
        <f t="shared" si="1"/>
        <v>916</v>
      </c>
      <c r="B180" s="4">
        <v>9.0</v>
      </c>
      <c r="C180" s="4" t="s">
        <v>49</v>
      </c>
      <c r="D180" s="28">
        <v>16.0</v>
      </c>
      <c r="E180" s="29" t="s">
        <v>240</v>
      </c>
      <c r="F180" s="4" t="s">
        <v>77</v>
      </c>
      <c r="G180" s="6">
        <v>33.0</v>
      </c>
      <c r="H180" s="30" t="str">
        <f>IF(D180=0,0,CANDCALI!$G180)</f>
        <v>  33 </v>
      </c>
      <c r="I180" s="4"/>
      <c r="J180" s="4" t="str">
        <f t="shared" si="8"/>
        <v>7500</v>
      </c>
      <c r="K180" s="24" t="str">
        <f>IF(CANDCALI!$H180&gt;=CANDCALI!$J180,"ELEGIDO","NO ELEGIDO")</f>
        <v>NO ELEGIDO</v>
      </c>
      <c r="L180" s="10"/>
    </row>
    <row r="181" ht="15.75" customHeight="1">
      <c r="A181" s="4" t="str">
        <f t="shared" si="1"/>
        <v>917</v>
      </c>
      <c r="B181" s="4">
        <v>9.0</v>
      </c>
      <c r="C181" s="4" t="s">
        <v>49</v>
      </c>
      <c r="D181" s="28">
        <v>17.0</v>
      </c>
      <c r="E181" s="29" t="s">
        <v>241</v>
      </c>
      <c r="F181" s="4" t="s">
        <v>77</v>
      </c>
      <c r="G181" s="6">
        <v>45.0</v>
      </c>
      <c r="H181" s="30" t="str">
        <f>IF(D181=0,0,CANDCALI!$G181)</f>
        <v>  45 </v>
      </c>
      <c r="I181" s="4"/>
      <c r="J181" s="4" t="str">
        <f t="shared" si="8"/>
        <v>7500</v>
      </c>
      <c r="K181" s="24" t="str">
        <f>IF(CANDCALI!$H181&gt;=CANDCALI!$J181,"ELEGIDO","NO ELEGIDO")</f>
        <v>NO ELEGIDO</v>
      </c>
      <c r="L181" s="10"/>
    </row>
    <row r="182" ht="15.75" customHeight="1">
      <c r="A182" s="4" t="str">
        <f t="shared" si="1"/>
        <v>918</v>
      </c>
      <c r="B182" s="4">
        <v>9.0</v>
      </c>
      <c r="C182" s="4" t="s">
        <v>49</v>
      </c>
      <c r="D182" s="28">
        <v>18.0</v>
      </c>
      <c r="E182" s="29" t="s">
        <v>242</v>
      </c>
      <c r="F182" s="4" t="s">
        <v>69</v>
      </c>
      <c r="G182" s="6">
        <v>73.0</v>
      </c>
      <c r="H182" s="30" t="str">
        <f>IF(D182=0,0,CANDCALI!$G182)</f>
        <v>  73 </v>
      </c>
      <c r="I182" s="4"/>
      <c r="J182" s="4" t="str">
        <f t="shared" si="8"/>
        <v>7500</v>
      </c>
      <c r="K182" s="24" t="str">
        <f>IF(CANDCALI!$H182&gt;=CANDCALI!$J182,"ELEGIDO","NO ELEGIDO")</f>
        <v>NO ELEGIDO</v>
      </c>
      <c r="L182" s="10"/>
    </row>
    <row r="183" ht="15.75" customHeight="1">
      <c r="A183" s="4" t="str">
        <f t="shared" si="1"/>
        <v>919</v>
      </c>
      <c r="B183" s="4">
        <v>9.0</v>
      </c>
      <c r="C183" s="4" t="s">
        <v>49</v>
      </c>
      <c r="D183" s="28">
        <v>19.0</v>
      </c>
      <c r="E183" s="29" t="s">
        <v>243</v>
      </c>
      <c r="F183" s="4" t="s">
        <v>69</v>
      </c>
      <c r="G183" s="6">
        <v>12.0</v>
      </c>
      <c r="H183" s="30" t="str">
        <f>IF(D183=0,0,CANDCALI!$G183)</f>
        <v>  12 </v>
      </c>
      <c r="I183" s="4"/>
      <c r="J183" s="4" t="str">
        <f t="shared" si="8"/>
        <v>7500</v>
      </c>
      <c r="K183" s="24" t="str">
        <f>IF(CANDCALI!$H183&gt;=CANDCALI!$J183,"ELEGIDO","NO ELEGIDO")</f>
        <v>NO ELEGIDO</v>
      </c>
      <c r="L183" s="10"/>
    </row>
    <row r="184" ht="15.75" customHeight="1">
      <c r="A184" s="4" t="str">
        <f t="shared" si="1"/>
        <v>920</v>
      </c>
      <c r="B184" s="4">
        <v>9.0</v>
      </c>
      <c r="C184" s="4" t="s">
        <v>49</v>
      </c>
      <c r="D184" s="28">
        <v>20.0</v>
      </c>
      <c r="E184" s="29" t="s">
        <v>244</v>
      </c>
      <c r="F184" s="4" t="s">
        <v>69</v>
      </c>
      <c r="G184" s="6">
        <v>36.0</v>
      </c>
      <c r="H184" s="30" t="str">
        <f>IF(D184=0,0,CANDCALI!$G184)</f>
        <v>  36 </v>
      </c>
      <c r="I184" s="4"/>
      <c r="J184" s="4" t="str">
        <f t="shared" si="8"/>
        <v>7500</v>
      </c>
      <c r="K184" s="24" t="str">
        <f>IF(CANDCALI!$H184&gt;=CANDCALI!$J184,"ELEGIDO","NO ELEGIDO")</f>
        <v>NO ELEGIDO</v>
      </c>
      <c r="L184" s="10"/>
    </row>
    <row r="185" ht="15.75" customHeight="1">
      <c r="A185" s="4" t="str">
        <f t="shared" si="1"/>
        <v>921</v>
      </c>
      <c r="B185" s="4">
        <v>9.0</v>
      </c>
      <c r="C185" s="4" t="s">
        <v>49</v>
      </c>
      <c r="D185" s="28">
        <v>21.0</v>
      </c>
      <c r="E185" s="29" t="s">
        <v>245</v>
      </c>
      <c r="F185" s="4" t="s">
        <v>77</v>
      </c>
      <c r="G185" s="6">
        <v>7500.0</v>
      </c>
      <c r="H185" s="30" t="str">
        <f>IF(D185=0,0,CANDCALI!$G185)</f>
        <v>  7,500 </v>
      </c>
      <c r="I185" s="4"/>
      <c r="J185" s="4" t="str">
        <f t="shared" si="8"/>
        <v>7500</v>
      </c>
      <c r="K185" s="24" t="str">
        <f>IF(CANDCALI!$H185&gt;=CANDCALI!$J185,"ELEGIDO","NO ELEGIDO")</f>
        <v>ELEGIDO</v>
      </c>
      <c r="L185" s="10"/>
    </row>
    <row r="186" ht="15.75" customHeight="1">
      <c r="A186" s="4" t="str">
        <f t="shared" si="1"/>
        <v>100</v>
      </c>
      <c r="B186" s="4">
        <v>10.0</v>
      </c>
      <c r="C186" s="4" t="s">
        <v>51</v>
      </c>
      <c r="D186" s="31">
        <v>0.0</v>
      </c>
      <c r="E186" s="24" t="s">
        <v>51</v>
      </c>
      <c r="F186" s="4"/>
      <c r="G186" s="11" t="str">
        <f>PARTIDO_POLO_DEMOCRATICO_ALTERNATIVO-SUM(G187:G202)</f>
        <v>  440 </v>
      </c>
      <c r="H186" s="24" t="str">
        <f>IF(D186=0,0,CANDCALI!$G186)</f>
        <v>0</v>
      </c>
      <c r="I186" s="26" t="str">
        <f>CIFCAL!AC11</f>
        <v>1</v>
      </c>
      <c r="J186" s="24" t="str">
        <f>LARGE(H186:H202,CANDCALI!$I186)</f>
        <v>11500</v>
      </c>
      <c r="K186" s="24"/>
      <c r="L186" s="27"/>
      <c r="M186" s="27"/>
      <c r="N186" s="27"/>
      <c r="O186" s="27"/>
      <c r="P186" s="27"/>
      <c r="Q186" s="27"/>
    </row>
    <row r="187" ht="15.75" customHeight="1">
      <c r="A187" s="4" t="str">
        <f t="shared" si="1"/>
        <v>101</v>
      </c>
      <c r="B187" s="4">
        <v>10.0</v>
      </c>
      <c r="C187" s="4" t="s">
        <v>51</v>
      </c>
      <c r="D187" s="28">
        <v>1.0</v>
      </c>
      <c r="E187" s="29" t="s">
        <v>246</v>
      </c>
      <c r="F187" s="4" t="s">
        <v>69</v>
      </c>
      <c r="G187" s="6">
        <v>11500.0</v>
      </c>
      <c r="H187" s="30" t="str">
        <f>IF(D187=0,0,CANDCALI!$G187)</f>
        <v>  11,500 </v>
      </c>
      <c r="I187" s="4"/>
      <c r="J187" s="4" t="str">
        <f t="shared" ref="J187:J202" si="9">J186</f>
        <v>11500</v>
      </c>
      <c r="K187" s="24" t="str">
        <f>IF(CANDCALI!$H187&gt;=CANDCALI!$J187,"ELEGIDO","NO ELEGIDO")</f>
        <v>ELEGIDO</v>
      </c>
      <c r="L187" s="10"/>
    </row>
    <row r="188" ht="15.75" customHeight="1">
      <c r="A188" s="4" t="str">
        <f t="shared" si="1"/>
        <v>102</v>
      </c>
      <c r="B188" s="4">
        <v>10.0</v>
      </c>
      <c r="C188" s="4" t="s">
        <v>51</v>
      </c>
      <c r="D188" s="28">
        <v>2.0</v>
      </c>
      <c r="E188" s="29" t="s">
        <v>247</v>
      </c>
      <c r="F188" s="4" t="s">
        <v>69</v>
      </c>
      <c r="G188" s="6">
        <v>2369.0</v>
      </c>
      <c r="H188" s="30" t="str">
        <f>IF(D188=0,0,CANDCALI!$G188)</f>
        <v>  2,369 </v>
      </c>
      <c r="I188" s="4"/>
      <c r="J188" s="4" t="str">
        <f t="shared" si="9"/>
        <v>11500</v>
      </c>
      <c r="K188" s="24" t="str">
        <f>IF(CANDCALI!$H188&gt;=CANDCALI!$J188,"ELEGIDO","NO ELEGIDO")</f>
        <v>NO ELEGIDO</v>
      </c>
      <c r="L188" s="10"/>
    </row>
    <row r="189" ht="15.75" customHeight="1">
      <c r="A189" s="4" t="str">
        <f t="shared" si="1"/>
        <v>103</v>
      </c>
      <c r="B189" s="4">
        <v>10.0</v>
      </c>
      <c r="C189" s="4" t="s">
        <v>51</v>
      </c>
      <c r="D189" s="28">
        <v>3.0</v>
      </c>
      <c r="E189" s="29" t="s">
        <v>248</v>
      </c>
      <c r="F189" s="4" t="s">
        <v>77</v>
      </c>
      <c r="G189" s="6">
        <v>12.0</v>
      </c>
      <c r="H189" s="30" t="str">
        <f>IF(D189=0,0,CANDCALI!$G189)</f>
        <v>  12 </v>
      </c>
      <c r="I189" s="4"/>
      <c r="J189" s="4" t="str">
        <f t="shared" si="9"/>
        <v>11500</v>
      </c>
      <c r="K189" s="24" t="str">
        <f>IF(CANDCALI!$H189&gt;=CANDCALI!$J189,"ELEGIDO","NO ELEGIDO")</f>
        <v>NO ELEGIDO</v>
      </c>
      <c r="L189" s="10"/>
    </row>
    <row r="190" ht="15.75" customHeight="1">
      <c r="A190" s="4" t="str">
        <f t="shared" si="1"/>
        <v>104</v>
      </c>
      <c r="B190" s="4">
        <v>10.0</v>
      </c>
      <c r="C190" s="4" t="s">
        <v>51</v>
      </c>
      <c r="D190" s="28">
        <v>4.0</v>
      </c>
      <c r="E190" s="29" t="s">
        <v>249</v>
      </c>
      <c r="F190" s="4" t="s">
        <v>77</v>
      </c>
      <c r="G190" s="6">
        <v>898.0</v>
      </c>
      <c r="H190" s="30" t="str">
        <f>IF(D190=0,0,CANDCALI!$G190)</f>
        <v>  898 </v>
      </c>
      <c r="I190" s="4"/>
      <c r="J190" s="4" t="str">
        <f t="shared" si="9"/>
        <v>11500</v>
      </c>
      <c r="K190" s="24" t="str">
        <f>IF(CANDCALI!$H190&gt;=CANDCALI!$J190,"ELEGIDO","NO ELEGIDO")</f>
        <v>NO ELEGIDO</v>
      </c>
      <c r="L190" s="10"/>
    </row>
    <row r="191" ht="15.75" customHeight="1">
      <c r="A191" s="4" t="str">
        <f t="shared" si="1"/>
        <v>105</v>
      </c>
      <c r="B191" s="4">
        <v>10.0</v>
      </c>
      <c r="C191" s="4" t="s">
        <v>51</v>
      </c>
      <c r="D191" s="28">
        <v>5.0</v>
      </c>
      <c r="E191" s="29" t="s">
        <v>250</v>
      </c>
      <c r="F191" s="4" t="s">
        <v>77</v>
      </c>
      <c r="G191" s="6">
        <v>25.0</v>
      </c>
      <c r="H191" s="30" t="str">
        <f>IF(D191=0,0,CANDCALI!$G191)</f>
        <v>  25 </v>
      </c>
      <c r="I191" s="4"/>
      <c r="J191" s="4" t="str">
        <f t="shared" si="9"/>
        <v>11500</v>
      </c>
      <c r="K191" s="24" t="str">
        <f>IF(CANDCALI!$H191&gt;=CANDCALI!$J191,"ELEGIDO","NO ELEGIDO")</f>
        <v>NO ELEGIDO</v>
      </c>
      <c r="L191" s="10"/>
    </row>
    <row r="192" ht="15.75" customHeight="1">
      <c r="A192" s="4" t="str">
        <f t="shared" si="1"/>
        <v>106</v>
      </c>
      <c r="B192" s="4">
        <v>10.0</v>
      </c>
      <c r="C192" s="4" t="s">
        <v>51</v>
      </c>
      <c r="D192" s="28">
        <v>6.0</v>
      </c>
      <c r="E192" s="29" t="s">
        <v>251</v>
      </c>
      <c r="F192" s="4" t="s">
        <v>77</v>
      </c>
      <c r="G192" s="6">
        <v>117.0</v>
      </c>
      <c r="H192" s="30" t="str">
        <f>IF(D192=0,0,CANDCALI!$G192)</f>
        <v>  117 </v>
      </c>
      <c r="I192" s="4"/>
      <c r="J192" s="4" t="str">
        <f t="shared" si="9"/>
        <v>11500</v>
      </c>
      <c r="K192" s="24" t="str">
        <f>IF(CANDCALI!$H192&gt;=CANDCALI!$J192,"ELEGIDO","NO ELEGIDO")</f>
        <v>NO ELEGIDO</v>
      </c>
      <c r="L192" s="10"/>
    </row>
    <row r="193" ht="15.75" customHeight="1">
      <c r="A193" s="4" t="str">
        <f t="shared" si="1"/>
        <v>107</v>
      </c>
      <c r="B193" s="4">
        <v>10.0</v>
      </c>
      <c r="C193" s="4" t="s">
        <v>51</v>
      </c>
      <c r="D193" s="28">
        <v>7.0</v>
      </c>
      <c r="E193" s="29" t="s">
        <v>252</v>
      </c>
      <c r="F193" s="4" t="s">
        <v>77</v>
      </c>
      <c r="G193" s="6">
        <v>598.0</v>
      </c>
      <c r="H193" s="30" t="str">
        <f>IF(D193=0,0,CANDCALI!$G193)</f>
        <v>  598 </v>
      </c>
      <c r="I193" s="4"/>
      <c r="J193" s="4" t="str">
        <f t="shared" si="9"/>
        <v>11500</v>
      </c>
      <c r="K193" s="24" t="str">
        <f>IF(CANDCALI!$H193&gt;=CANDCALI!$J193,"ELEGIDO","NO ELEGIDO")</f>
        <v>NO ELEGIDO</v>
      </c>
      <c r="L193" s="10"/>
    </row>
    <row r="194" ht="15.75" customHeight="1">
      <c r="A194" s="4" t="str">
        <f t="shared" si="1"/>
        <v>108</v>
      </c>
      <c r="B194" s="4">
        <v>10.0</v>
      </c>
      <c r="C194" s="4" t="s">
        <v>51</v>
      </c>
      <c r="D194" s="28">
        <v>8.0</v>
      </c>
      <c r="E194" s="29" t="s">
        <v>253</v>
      </c>
      <c r="F194" s="4" t="s">
        <v>77</v>
      </c>
      <c r="G194" s="6">
        <v>1.0</v>
      </c>
      <c r="H194" s="30" t="str">
        <f>IF(D194=0,0,CANDCALI!$G194)</f>
        <v>  1 </v>
      </c>
      <c r="I194" s="4"/>
      <c r="J194" s="4" t="str">
        <f t="shared" si="9"/>
        <v>11500</v>
      </c>
      <c r="K194" s="24" t="str">
        <f>IF(CANDCALI!$H194&gt;=CANDCALI!$J194,"ELEGIDO","NO ELEGIDO")</f>
        <v>NO ELEGIDO</v>
      </c>
      <c r="L194" s="10"/>
    </row>
    <row r="195" ht="15.75" customHeight="1">
      <c r="A195" s="4" t="str">
        <f t="shared" si="1"/>
        <v>109</v>
      </c>
      <c r="B195" s="4">
        <v>10.0</v>
      </c>
      <c r="C195" s="4" t="s">
        <v>51</v>
      </c>
      <c r="D195" s="28">
        <v>9.0</v>
      </c>
      <c r="E195" s="29" t="s">
        <v>254</v>
      </c>
      <c r="F195" s="4" t="s">
        <v>77</v>
      </c>
      <c r="G195" s="6">
        <v>11.0</v>
      </c>
      <c r="H195" s="30" t="str">
        <f>IF(D195=0,0,CANDCALI!$G195)</f>
        <v>  11 </v>
      </c>
      <c r="I195" s="4"/>
      <c r="J195" s="4" t="str">
        <f t="shared" si="9"/>
        <v>11500</v>
      </c>
      <c r="K195" s="24" t="str">
        <f>IF(CANDCALI!$H195&gt;=CANDCALI!$J195,"ELEGIDO","NO ELEGIDO")</f>
        <v>NO ELEGIDO</v>
      </c>
      <c r="L195" s="10"/>
    </row>
    <row r="196" ht="15.75" customHeight="1">
      <c r="A196" s="4" t="str">
        <f t="shared" si="1"/>
        <v>1010</v>
      </c>
      <c r="B196" s="4">
        <v>10.0</v>
      </c>
      <c r="C196" s="4" t="s">
        <v>51</v>
      </c>
      <c r="D196" s="28">
        <v>10.0</v>
      </c>
      <c r="E196" s="29" t="s">
        <v>255</v>
      </c>
      <c r="F196" s="4" t="s">
        <v>77</v>
      </c>
      <c r="G196" s="6">
        <v>114.0</v>
      </c>
      <c r="H196" s="30" t="str">
        <f>IF(D196=0,0,CANDCALI!$G196)</f>
        <v>  114 </v>
      </c>
      <c r="I196" s="4"/>
      <c r="J196" s="4" t="str">
        <f t="shared" si="9"/>
        <v>11500</v>
      </c>
      <c r="K196" s="24" t="str">
        <f>IF(CANDCALI!$H196&gt;=CANDCALI!$J196,"ELEGIDO","NO ELEGIDO")</f>
        <v>NO ELEGIDO</v>
      </c>
      <c r="L196" s="10"/>
    </row>
    <row r="197" ht="15.75" customHeight="1">
      <c r="A197" s="4" t="str">
        <f t="shared" si="1"/>
        <v>1011</v>
      </c>
      <c r="B197" s="4">
        <v>10.0</v>
      </c>
      <c r="C197" s="4" t="s">
        <v>51</v>
      </c>
      <c r="D197" s="28">
        <v>11.0</v>
      </c>
      <c r="E197" s="29" t="s">
        <v>256</v>
      </c>
      <c r="F197" s="4" t="s">
        <v>69</v>
      </c>
      <c r="G197" s="6">
        <v>411.0</v>
      </c>
      <c r="H197" s="30" t="str">
        <f>IF(D197=0,0,CANDCALI!$G197)</f>
        <v>  411 </v>
      </c>
      <c r="I197" s="4"/>
      <c r="J197" s="4" t="str">
        <f t="shared" si="9"/>
        <v>11500</v>
      </c>
      <c r="K197" s="24" t="str">
        <f>IF(CANDCALI!$H197&gt;=CANDCALI!$J197,"ELEGIDO","NO ELEGIDO")</f>
        <v>NO ELEGIDO</v>
      </c>
      <c r="L197" s="10"/>
    </row>
    <row r="198" ht="15.75" customHeight="1">
      <c r="A198" s="4" t="str">
        <f t="shared" si="1"/>
        <v>1012</v>
      </c>
      <c r="B198" s="4">
        <v>10.0</v>
      </c>
      <c r="C198" s="4" t="s">
        <v>51</v>
      </c>
      <c r="D198" s="28">
        <v>12.0</v>
      </c>
      <c r="E198" s="29" t="s">
        <v>257</v>
      </c>
      <c r="F198" s="4" t="s">
        <v>77</v>
      </c>
      <c r="G198" s="6">
        <v>2.0</v>
      </c>
      <c r="H198" s="30" t="str">
        <f>IF(D198=0,0,CANDCALI!$G198)</f>
        <v>  2 </v>
      </c>
      <c r="I198" s="4"/>
      <c r="J198" s="4" t="str">
        <f t="shared" si="9"/>
        <v>11500</v>
      </c>
      <c r="K198" s="24" t="str">
        <f>IF(CANDCALI!$H198&gt;=CANDCALI!$J198,"ELEGIDO","NO ELEGIDO")</f>
        <v>NO ELEGIDO</v>
      </c>
      <c r="L198" s="10"/>
    </row>
    <row r="199" ht="15.75" customHeight="1">
      <c r="A199" s="4" t="str">
        <f t="shared" si="1"/>
        <v>1013</v>
      </c>
      <c r="B199" s="4">
        <v>10.0</v>
      </c>
      <c r="C199" s="4" t="s">
        <v>51</v>
      </c>
      <c r="D199" s="28">
        <v>13.0</v>
      </c>
      <c r="E199" s="29" t="s">
        <v>258</v>
      </c>
      <c r="F199" s="4" t="s">
        <v>77</v>
      </c>
      <c r="G199" s="6">
        <v>35.0</v>
      </c>
      <c r="H199" s="30" t="str">
        <f>IF(D199=0,0,CANDCALI!$G199)</f>
        <v>  35 </v>
      </c>
      <c r="I199" s="4"/>
      <c r="J199" s="4" t="str">
        <f t="shared" si="9"/>
        <v>11500</v>
      </c>
      <c r="K199" s="24" t="str">
        <f>IF(CANDCALI!$H199&gt;=CANDCALI!$J199,"ELEGIDO","NO ELEGIDO")</f>
        <v>NO ELEGIDO</v>
      </c>
      <c r="L199" s="10"/>
    </row>
    <row r="200" ht="15.75" customHeight="1">
      <c r="A200" s="4" t="str">
        <f t="shared" si="1"/>
        <v>1014</v>
      </c>
      <c r="B200" s="4">
        <v>10.0</v>
      </c>
      <c r="C200" s="4" t="s">
        <v>51</v>
      </c>
      <c r="D200" s="28">
        <v>14.0</v>
      </c>
      <c r="E200" s="29" t="s">
        <v>259</v>
      </c>
      <c r="F200" s="4" t="s">
        <v>69</v>
      </c>
      <c r="G200" s="6">
        <v>4540.0</v>
      </c>
      <c r="H200" s="30" t="str">
        <f>IF(D200=0,0,CANDCALI!$G200)</f>
        <v>  4,540 </v>
      </c>
      <c r="I200" s="4"/>
      <c r="J200" s="4" t="str">
        <f t="shared" si="9"/>
        <v>11500</v>
      </c>
      <c r="K200" s="24" t="str">
        <f>IF(CANDCALI!$H200&gt;=CANDCALI!$J200,"ELEGIDO","NO ELEGIDO")</f>
        <v>NO ELEGIDO</v>
      </c>
      <c r="L200" s="10"/>
    </row>
    <row r="201" ht="15.75" customHeight="1">
      <c r="A201" s="4" t="str">
        <f t="shared" si="1"/>
        <v>1015</v>
      </c>
      <c r="B201" s="4">
        <v>10.0</v>
      </c>
      <c r="C201" s="4" t="s">
        <v>51</v>
      </c>
      <c r="D201" s="28">
        <v>15.0</v>
      </c>
      <c r="E201" s="29" t="s">
        <v>260</v>
      </c>
      <c r="F201" s="4" t="s">
        <v>69</v>
      </c>
      <c r="G201" s="6">
        <v>29.0</v>
      </c>
      <c r="H201" s="30" t="str">
        <f>IF(D201=0,0,CANDCALI!$G201)</f>
        <v>  29 </v>
      </c>
      <c r="I201" s="4"/>
      <c r="J201" s="4" t="str">
        <f t="shared" si="9"/>
        <v>11500</v>
      </c>
      <c r="K201" s="24" t="str">
        <f>IF(CANDCALI!$H201&gt;=CANDCALI!$J201,"ELEGIDO","NO ELEGIDO")</f>
        <v>NO ELEGIDO</v>
      </c>
      <c r="L201" s="10"/>
    </row>
    <row r="202" ht="15.75" customHeight="1">
      <c r="A202" s="4" t="str">
        <f t="shared" si="1"/>
        <v>1016</v>
      </c>
      <c r="B202" s="4">
        <v>10.0</v>
      </c>
      <c r="C202" s="4" t="s">
        <v>51</v>
      </c>
      <c r="D202" s="28">
        <v>16.0</v>
      </c>
      <c r="E202" s="29" t="s">
        <v>261</v>
      </c>
      <c r="F202" s="4" t="s">
        <v>69</v>
      </c>
      <c r="G202" s="6">
        <v>1008.0</v>
      </c>
      <c r="H202" s="30" t="str">
        <f>IF(D202=0,0,CANDCALI!$G202)</f>
        <v>  1,008 </v>
      </c>
      <c r="I202" s="4"/>
      <c r="J202" s="4" t="str">
        <f t="shared" si="9"/>
        <v>11500</v>
      </c>
      <c r="K202" s="24" t="str">
        <f>IF(CANDCALI!$H202&gt;=CANDCALI!$J202,"ELEGIDO","NO ELEGIDO")</f>
        <v>NO ELEGIDO</v>
      </c>
      <c r="L202" s="10"/>
    </row>
    <row r="203" ht="15.75" customHeight="1">
      <c r="A203" s="4" t="str">
        <f t="shared" si="1"/>
        <v>110</v>
      </c>
      <c r="B203" s="4">
        <v>11.0</v>
      </c>
      <c r="C203" s="4" t="s">
        <v>53</v>
      </c>
      <c r="D203" s="31">
        <v>0.0</v>
      </c>
      <c r="E203" s="24" t="s">
        <v>53</v>
      </c>
      <c r="F203" s="4"/>
      <c r="G203" s="11" t="str">
        <f>PARTIDO_OPCION_CIUDADANA-SUM(G204:G224)</f>
        <v>- 18,445 </v>
      </c>
      <c r="H203" s="24" t="str">
        <f>IF(D203=0,0,CANDCALI!$G203)</f>
        <v>0</v>
      </c>
      <c r="I203" s="26" t="str">
        <f>CIFCAL!AC12</f>
        <v>0</v>
      </c>
      <c r="J203" s="24" t="str">
        <f>LARGE(H203:H224,CANDCALI!$I203)</f>
        <v>#NUM!</v>
      </c>
      <c r="K203" s="24"/>
      <c r="L203" s="27"/>
      <c r="M203" s="27"/>
      <c r="N203" s="27"/>
      <c r="O203" s="27"/>
      <c r="P203" s="27"/>
      <c r="Q203" s="27"/>
    </row>
    <row r="204" ht="15.75" customHeight="1">
      <c r="A204" s="4" t="str">
        <f t="shared" si="1"/>
        <v>111</v>
      </c>
      <c r="B204" s="4">
        <v>11.0</v>
      </c>
      <c r="C204" s="4" t="s">
        <v>53</v>
      </c>
      <c r="D204" s="28">
        <v>1.0</v>
      </c>
      <c r="E204" s="29" t="s">
        <v>262</v>
      </c>
      <c r="F204" s="4" t="s">
        <v>77</v>
      </c>
      <c r="G204" s="6">
        <v>9899.0</v>
      </c>
      <c r="H204" s="30" t="str">
        <f>IF(D204=0,0,CANDCALI!$G204)</f>
        <v>  9,899 </v>
      </c>
      <c r="I204" s="4"/>
      <c r="J204" s="4" t="str">
        <f t="shared" ref="J204:J224" si="10">J203</f>
        <v>#NUM!</v>
      </c>
      <c r="K204" s="24" t="str">
        <f>IF(CANDCALI!$H204&gt;=CANDCALI!$J204,"ELEGIDO","NO ELEGIDO")</f>
        <v>#NUM!</v>
      </c>
      <c r="L204" s="10"/>
    </row>
    <row r="205" ht="15.75" customHeight="1">
      <c r="A205" s="4" t="str">
        <f t="shared" si="1"/>
        <v>112</v>
      </c>
      <c r="B205" s="4">
        <v>11.0</v>
      </c>
      <c r="C205" s="4" t="s">
        <v>53</v>
      </c>
      <c r="D205" s="28">
        <v>2.0</v>
      </c>
      <c r="E205" s="29" t="s">
        <v>263</v>
      </c>
      <c r="F205" s="4" t="s">
        <v>77</v>
      </c>
      <c r="G205" s="6">
        <v>2500.0</v>
      </c>
      <c r="H205" s="30" t="str">
        <f>IF(D205=0,0,CANDCALI!$G205)</f>
        <v>  2,500 </v>
      </c>
      <c r="I205" s="4"/>
      <c r="J205" s="4" t="str">
        <f t="shared" si="10"/>
        <v>#NUM!</v>
      </c>
      <c r="K205" s="24" t="str">
        <f>IF(CANDCALI!$H205&gt;=CANDCALI!$J205,"ELEGIDO","NO ELEGIDO")</f>
        <v>#NUM!</v>
      </c>
      <c r="L205" s="10"/>
    </row>
    <row r="206" ht="15.75" customHeight="1">
      <c r="A206" s="4" t="str">
        <f t="shared" si="1"/>
        <v>113</v>
      </c>
      <c r="B206" s="4">
        <v>11.0</v>
      </c>
      <c r="C206" s="4" t="s">
        <v>53</v>
      </c>
      <c r="D206" s="28">
        <v>3.0</v>
      </c>
      <c r="E206" s="29" t="s">
        <v>264</v>
      </c>
      <c r="F206" s="4" t="s">
        <v>77</v>
      </c>
      <c r="G206" s="6">
        <v>789.0</v>
      </c>
      <c r="H206" s="30" t="str">
        <f>IF(D206=0,0,CANDCALI!$G206)</f>
        <v>  789 </v>
      </c>
      <c r="I206" s="4"/>
      <c r="J206" s="4" t="str">
        <f t="shared" si="10"/>
        <v>#NUM!</v>
      </c>
      <c r="K206" s="24" t="str">
        <f>IF(CANDCALI!$H206&gt;=CANDCALI!$J206,"ELEGIDO","NO ELEGIDO")</f>
        <v>#NUM!</v>
      </c>
      <c r="L206" s="10"/>
    </row>
    <row r="207" ht="15.75" customHeight="1">
      <c r="A207" s="4" t="str">
        <f t="shared" si="1"/>
        <v>114</v>
      </c>
      <c r="B207" s="4">
        <v>11.0</v>
      </c>
      <c r="C207" s="4" t="s">
        <v>53</v>
      </c>
      <c r="D207" s="28">
        <v>4.0</v>
      </c>
      <c r="E207" s="29" t="s">
        <v>265</v>
      </c>
      <c r="F207" s="4" t="s">
        <v>77</v>
      </c>
      <c r="G207" s="6">
        <v>1456.0</v>
      </c>
      <c r="H207" s="30" t="str">
        <f>IF(D207=0,0,CANDCALI!$G207)</f>
        <v>  1,456 </v>
      </c>
      <c r="I207" s="4"/>
      <c r="J207" s="4" t="str">
        <f t="shared" si="10"/>
        <v>#NUM!</v>
      </c>
      <c r="K207" s="24" t="str">
        <f>IF(CANDCALI!$H207&gt;=CANDCALI!$J207,"ELEGIDO","NO ELEGIDO")</f>
        <v>#NUM!</v>
      </c>
      <c r="L207" s="10"/>
    </row>
    <row r="208" ht="15.75" customHeight="1">
      <c r="A208" s="4" t="str">
        <f t="shared" si="1"/>
        <v>115</v>
      </c>
      <c r="B208" s="4">
        <v>11.0</v>
      </c>
      <c r="C208" s="4" t="s">
        <v>53</v>
      </c>
      <c r="D208" s="28">
        <v>5.0</v>
      </c>
      <c r="E208" s="29" t="s">
        <v>266</v>
      </c>
      <c r="F208" s="4" t="s">
        <v>77</v>
      </c>
      <c r="G208" s="6">
        <v>798.0</v>
      </c>
      <c r="H208" s="30" t="str">
        <f>IF(D208=0,0,CANDCALI!$G208)</f>
        <v>  798 </v>
      </c>
      <c r="I208" s="4"/>
      <c r="J208" s="4" t="str">
        <f t="shared" si="10"/>
        <v>#NUM!</v>
      </c>
      <c r="K208" s="24" t="str">
        <f>IF(CANDCALI!$H208&gt;=CANDCALI!$J208,"ELEGIDO","NO ELEGIDO")</f>
        <v>#NUM!</v>
      </c>
      <c r="L208" s="10"/>
    </row>
    <row r="209" ht="15.75" customHeight="1">
      <c r="A209" s="4" t="str">
        <f t="shared" si="1"/>
        <v>116</v>
      </c>
      <c r="B209" s="4">
        <v>11.0</v>
      </c>
      <c r="C209" s="4" t="s">
        <v>53</v>
      </c>
      <c r="D209" s="28">
        <v>6.0</v>
      </c>
      <c r="E209" s="29" t="s">
        <v>267</v>
      </c>
      <c r="F209" s="4" t="s">
        <v>77</v>
      </c>
      <c r="G209" s="6">
        <v>258.0</v>
      </c>
      <c r="H209" s="30" t="str">
        <f>IF(D209=0,0,CANDCALI!$G209)</f>
        <v>  258 </v>
      </c>
      <c r="I209" s="4"/>
      <c r="J209" s="4" t="str">
        <f t="shared" si="10"/>
        <v>#NUM!</v>
      </c>
      <c r="K209" s="24" t="str">
        <f>IF(CANDCALI!$H209&gt;=CANDCALI!$J209,"ELEGIDO","NO ELEGIDO")</f>
        <v>#NUM!</v>
      </c>
      <c r="L209" s="10"/>
    </row>
    <row r="210" ht="15.75" customHeight="1">
      <c r="A210" s="4" t="str">
        <f t="shared" si="1"/>
        <v>117</v>
      </c>
      <c r="B210" s="4">
        <v>11.0</v>
      </c>
      <c r="C210" s="4" t="s">
        <v>53</v>
      </c>
      <c r="D210" s="28">
        <v>7.0</v>
      </c>
      <c r="E210" s="29" t="s">
        <v>268</v>
      </c>
      <c r="F210" s="4" t="s">
        <v>77</v>
      </c>
      <c r="G210" s="6">
        <v>1120.0</v>
      </c>
      <c r="H210" s="30" t="str">
        <f>IF(D210=0,0,CANDCALI!$G210)</f>
        <v>  1,120 </v>
      </c>
      <c r="I210" s="4"/>
      <c r="J210" s="4" t="str">
        <f t="shared" si="10"/>
        <v>#NUM!</v>
      </c>
      <c r="K210" s="24" t="str">
        <f>IF(CANDCALI!$H210&gt;=CANDCALI!$J210,"ELEGIDO","NO ELEGIDO")</f>
        <v>#NUM!</v>
      </c>
      <c r="L210" s="10"/>
    </row>
    <row r="211" ht="15.75" customHeight="1">
      <c r="A211" s="4" t="str">
        <f t="shared" si="1"/>
        <v>118</v>
      </c>
      <c r="B211" s="4">
        <v>11.0</v>
      </c>
      <c r="C211" s="4" t="s">
        <v>53</v>
      </c>
      <c r="D211" s="28">
        <v>8.0</v>
      </c>
      <c r="E211" s="29" t="s">
        <v>269</v>
      </c>
      <c r="F211" s="4" t="s">
        <v>77</v>
      </c>
      <c r="G211" s="6">
        <v>30.0</v>
      </c>
      <c r="H211" s="30" t="str">
        <f>IF(D211=0,0,CANDCALI!$G211)</f>
        <v>  30 </v>
      </c>
      <c r="I211" s="4"/>
      <c r="J211" s="4" t="str">
        <f t="shared" si="10"/>
        <v>#NUM!</v>
      </c>
      <c r="K211" s="24" t="str">
        <f>IF(CANDCALI!$H211&gt;=CANDCALI!$J211,"ELEGIDO","NO ELEGIDO")</f>
        <v>#NUM!</v>
      </c>
      <c r="L211" s="10"/>
    </row>
    <row r="212" ht="15.75" customHeight="1">
      <c r="A212" s="4" t="str">
        <f t="shared" si="1"/>
        <v>119</v>
      </c>
      <c r="B212" s="4">
        <v>11.0</v>
      </c>
      <c r="C212" s="4" t="s">
        <v>53</v>
      </c>
      <c r="D212" s="28">
        <v>9.0</v>
      </c>
      <c r="E212" s="29" t="s">
        <v>270</v>
      </c>
      <c r="F212" s="4" t="s">
        <v>77</v>
      </c>
      <c r="G212" s="6">
        <v>56.0</v>
      </c>
      <c r="H212" s="30" t="str">
        <f>IF(D212=0,0,CANDCALI!$G212)</f>
        <v>  56 </v>
      </c>
      <c r="I212" s="4"/>
      <c r="J212" s="4" t="str">
        <f t="shared" si="10"/>
        <v>#NUM!</v>
      </c>
      <c r="K212" s="24" t="str">
        <f>IF(CANDCALI!$H212&gt;=CANDCALI!$J212,"ELEGIDO","NO ELEGIDO")</f>
        <v>#NUM!</v>
      </c>
      <c r="L212" s="10"/>
    </row>
    <row r="213" ht="15.75" customHeight="1">
      <c r="A213" s="4" t="str">
        <f t="shared" si="1"/>
        <v>1110</v>
      </c>
      <c r="B213" s="4">
        <v>11.0</v>
      </c>
      <c r="C213" s="4" t="s">
        <v>53</v>
      </c>
      <c r="D213" s="28">
        <v>10.0</v>
      </c>
      <c r="E213" s="29" t="s">
        <v>271</v>
      </c>
      <c r="F213" s="4" t="s">
        <v>77</v>
      </c>
      <c r="G213" s="6">
        <v>99.0</v>
      </c>
      <c r="H213" s="30" t="str">
        <f>IF(D213=0,0,CANDCALI!$G213)</f>
        <v>  99 </v>
      </c>
      <c r="I213" s="4"/>
      <c r="J213" s="4" t="str">
        <f t="shared" si="10"/>
        <v>#NUM!</v>
      </c>
      <c r="K213" s="24" t="str">
        <f>IF(CANDCALI!$H213&gt;=CANDCALI!$J213,"ELEGIDO","NO ELEGIDO")</f>
        <v>#NUM!</v>
      </c>
      <c r="L213" s="10"/>
    </row>
    <row r="214" ht="15.75" customHeight="1">
      <c r="A214" s="4" t="str">
        <f t="shared" si="1"/>
        <v>1111</v>
      </c>
      <c r="B214" s="4">
        <v>11.0</v>
      </c>
      <c r="C214" s="4" t="s">
        <v>53</v>
      </c>
      <c r="D214" s="28">
        <v>11.0</v>
      </c>
      <c r="E214" s="29" t="s">
        <v>272</v>
      </c>
      <c r="F214" s="4" t="s">
        <v>77</v>
      </c>
      <c r="G214" s="6">
        <v>54.0</v>
      </c>
      <c r="H214" s="30" t="str">
        <f>IF(D214=0,0,CANDCALI!$G214)</f>
        <v>  54 </v>
      </c>
      <c r="I214" s="4"/>
      <c r="J214" s="4" t="str">
        <f t="shared" si="10"/>
        <v>#NUM!</v>
      </c>
      <c r="K214" s="24" t="str">
        <f>IF(CANDCALI!$H214&gt;=CANDCALI!$J214,"ELEGIDO","NO ELEGIDO")</f>
        <v>#NUM!</v>
      </c>
      <c r="L214" s="10"/>
    </row>
    <row r="215" ht="15.75" customHeight="1">
      <c r="A215" s="4" t="str">
        <f t="shared" si="1"/>
        <v>1112</v>
      </c>
      <c r="B215" s="4">
        <v>11.0</v>
      </c>
      <c r="C215" s="4" t="s">
        <v>53</v>
      </c>
      <c r="D215" s="28">
        <v>12.0</v>
      </c>
      <c r="E215" s="29" t="s">
        <v>273</v>
      </c>
      <c r="F215" s="4" t="s">
        <v>77</v>
      </c>
      <c r="G215" s="6">
        <v>18.0</v>
      </c>
      <c r="H215" s="30" t="str">
        <f>IF(D215=0,0,CANDCALI!$G215)</f>
        <v>  18 </v>
      </c>
      <c r="I215" s="4"/>
      <c r="J215" s="4" t="str">
        <f t="shared" si="10"/>
        <v>#NUM!</v>
      </c>
      <c r="K215" s="24" t="str">
        <f>IF(CANDCALI!$H215&gt;=CANDCALI!$J215,"ELEGIDO","NO ELEGIDO")</f>
        <v>#NUM!</v>
      </c>
      <c r="L215" s="10"/>
    </row>
    <row r="216" ht="15.75" customHeight="1">
      <c r="A216" s="4" t="str">
        <f t="shared" si="1"/>
        <v>1113</v>
      </c>
      <c r="B216" s="4">
        <v>11.0</v>
      </c>
      <c r="C216" s="4" t="s">
        <v>53</v>
      </c>
      <c r="D216" s="28">
        <v>13.0</v>
      </c>
      <c r="E216" s="29" t="s">
        <v>274</v>
      </c>
      <c r="F216" s="4" t="s">
        <v>69</v>
      </c>
      <c r="G216" s="6">
        <v>1478.0</v>
      </c>
      <c r="H216" s="30" t="str">
        <f>IF(D216=0,0,CANDCALI!$G216)</f>
        <v>  1,478 </v>
      </c>
      <c r="I216" s="4"/>
      <c r="J216" s="4" t="str">
        <f t="shared" si="10"/>
        <v>#NUM!</v>
      </c>
      <c r="K216" s="24" t="str">
        <f>IF(CANDCALI!$H216&gt;=CANDCALI!$J216,"ELEGIDO","NO ELEGIDO")</f>
        <v>#NUM!</v>
      </c>
      <c r="L216" s="10"/>
    </row>
    <row r="217" ht="15.75" customHeight="1">
      <c r="A217" s="4" t="str">
        <f t="shared" si="1"/>
        <v>1114</v>
      </c>
      <c r="B217" s="4">
        <v>11.0</v>
      </c>
      <c r="C217" s="4" t="s">
        <v>53</v>
      </c>
      <c r="D217" s="28">
        <v>14.0</v>
      </c>
      <c r="E217" s="29" t="s">
        <v>275</v>
      </c>
      <c r="F217" s="4" t="s">
        <v>77</v>
      </c>
      <c r="G217" s="6">
        <v>100.0</v>
      </c>
      <c r="H217" s="30" t="str">
        <f>IF(D217=0,0,CANDCALI!$G217)</f>
        <v>  100 </v>
      </c>
      <c r="I217" s="4"/>
      <c r="J217" s="4" t="str">
        <f t="shared" si="10"/>
        <v>#NUM!</v>
      </c>
      <c r="K217" s="24" t="str">
        <f>IF(CANDCALI!$H217&gt;=CANDCALI!$J217,"ELEGIDO","NO ELEGIDO")</f>
        <v>#NUM!</v>
      </c>
      <c r="L217" s="10"/>
    </row>
    <row r="218" ht="15.75" customHeight="1">
      <c r="A218" s="4" t="str">
        <f t="shared" si="1"/>
        <v>1115</v>
      </c>
      <c r="B218" s="4">
        <v>11.0</v>
      </c>
      <c r="C218" s="4" t="s">
        <v>53</v>
      </c>
      <c r="D218" s="28">
        <v>15.0</v>
      </c>
      <c r="E218" s="29" t="s">
        <v>276</v>
      </c>
      <c r="F218" s="4" t="s">
        <v>69</v>
      </c>
      <c r="G218" s="6">
        <v>36.0</v>
      </c>
      <c r="H218" s="30" t="str">
        <f>IF(D218=0,0,CANDCALI!$G218)</f>
        <v>  36 </v>
      </c>
      <c r="I218" s="4"/>
      <c r="J218" s="4" t="str">
        <f t="shared" si="10"/>
        <v>#NUM!</v>
      </c>
      <c r="K218" s="24" t="str">
        <f>IF(CANDCALI!$H218&gt;=CANDCALI!$J218,"ELEGIDO","NO ELEGIDO")</f>
        <v>#NUM!</v>
      </c>
      <c r="L218" s="10"/>
    </row>
    <row r="219" ht="15.75" customHeight="1">
      <c r="A219" s="4" t="str">
        <f t="shared" si="1"/>
        <v>1116</v>
      </c>
      <c r="B219" s="4">
        <v>11.0</v>
      </c>
      <c r="C219" s="4" t="s">
        <v>53</v>
      </c>
      <c r="D219" s="28">
        <v>16.0</v>
      </c>
      <c r="E219" s="29" t="s">
        <v>277</v>
      </c>
      <c r="F219" s="4" t="s">
        <v>69</v>
      </c>
      <c r="G219" s="6">
        <v>1456.0</v>
      </c>
      <c r="H219" s="30" t="str">
        <f>IF(D219=0,0,CANDCALI!$G219)</f>
        <v>  1,456 </v>
      </c>
      <c r="I219" s="4"/>
      <c r="J219" s="4" t="str">
        <f t="shared" si="10"/>
        <v>#NUM!</v>
      </c>
      <c r="K219" s="24" t="str">
        <f>IF(CANDCALI!$H219&gt;=CANDCALI!$J219,"ELEGIDO","NO ELEGIDO")</f>
        <v>#NUM!</v>
      </c>
      <c r="L219" s="10"/>
    </row>
    <row r="220" ht="15.75" customHeight="1">
      <c r="A220" s="4" t="str">
        <f t="shared" si="1"/>
        <v>1117</v>
      </c>
      <c r="B220" s="4">
        <v>11.0</v>
      </c>
      <c r="C220" s="4" t="s">
        <v>53</v>
      </c>
      <c r="D220" s="28">
        <v>17.0</v>
      </c>
      <c r="E220" s="29" t="s">
        <v>278</v>
      </c>
      <c r="F220" s="4" t="s">
        <v>69</v>
      </c>
      <c r="G220" s="6">
        <v>112.0</v>
      </c>
      <c r="H220" s="30" t="str">
        <f>IF(D220=0,0,CANDCALI!$G220)</f>
        <v>  112 </v>
      </c>
      <c r="I220" s="4"/>
      <c r="J220" s="4" t="str">
        <f t="shared" si="10"/>
        <v>#NUM!</v>
      </c>
      <c r="K220" s="24" t="str">
        <f>IF(CANDCALI!$H220&gt;=CANDCALI!$J220,"ELEGIDO","NO ELEGIDO")</f>
        <v>#NUM!</v>
      </c>
      <c r="L220" s="10"/>
    </row>
    <row r="221" ht="15.75" customHeight="1">
      <c r="A221" s="4" t="str">
        <f t="shared" si="1"/>
        <v>1118</v>
      </c>
      <c r="B221" s="4">
        <v>11.0</v>
      </c>
      <c r="C221" s="4" t="s">
        <v>53</v>
      </c>
      <c r="D221" s="28">
        <v>18.0</v>
      </c>
      <c r="E221" s="29" t="s">
        <v>279</v>
      </c>
      <c r="F221" s="4" t="s">
        <v>69</v>
      </c>
      <c r="G221" s="6">
        <v>610.0</v>
      </c>
      <c r="H221" s="30" t="str">
        <f>IF(D221=0,0,CANDCALI!$G221)</f>
        <v>  610 </v>
      </c>
      <c r="I221" s="4"/>
      <c r="J221" s="4" t="str">
        <f t="shared" si="10"/>
        <v>#NUM!</v>
      </c>
      <c r="K221" s="24" t="str">
        <f>IF(CANDCALI!$H221&gt;=CANDCALI!$J221,"ELEGIDO","NO ELEGIDO")</f>
        <v>#NUM!</v>
      </c>
      <c r="L221" s="10"/>
    </row>
    <row r="222" ht="15.75" customHeight="1">
      <c r="A222" s="4" t="str">
        <f t="shared" si="1"/>
        <v>1119</v>
      </c>
      <c r="B222" s="4">
        <v>11.0</v>
      </c>
      <c r="C222" s="4" t="s">
        <v>53</v>
      </c>
      <c r="D222" s="28">
        <v>19.0</v>
      </c>
      <c r="E222" s="29" t="s">
        <v>280</v>
      </c>
      <c r="F222" s="4" t="s">
        <v>69</v>
      </c>
      <c r="G222" s="6">
        <v>1000.0</v>
      </c>
      <c r="H222" s="30" t="str">
        <f>IF(D222=0,0,CANDCALI!$G222)</f>
        <v>  1,000 </v>
      </c>
      <c r="I222" s="4"/>
      <c r="J222" s="4" t="str">
        <f t="shared" si="10"/>
        <v>#NUM!</v>
      </c>
      <c r="K222" s="24" t="str">
        <f>IF(CANDCALI!$H222&gt;=CANDCALI!$J222,"ELEGIDO","NO ELEGIDO")</f>
        <v>#NUM!</v>
      </c>
      <c r="L222" s="10"/>
    </row>
    <row r="223" ht="15.75" customHeight="1">
      <c r="A223" s="4" t="str">
        <f t="shared" si="1"/>
        <v>1120</v>
      </c>
      <c r="B223" s="4">
        <v>11.0</v>
      </c>
      <c r="C223" s="4" t="s">
        <v>53</v>
      </c>
      <c r="D223" s="28">
        <v>20.0</v>
      </c>
      <c r="E223" s="29" t="s">
        <v>281</v>
      </c>
      <c r="F223" s="4" t="s">
        <v>69</v>
      </c>
      <c r="G223" s="6">
        <v>2000.0</v>
      </c>
      <c r="H223" s="30" t="str">
        <f>IF(D223=0,0,CANDCALI!$G223)</f>
        <v>  2,000 </v>
      </c>
      <c r="I223" s="4"/>
      <c r="J223" s="4" t="str">
        <f t="shared" si="10"/>
        <v>#NUM!</v>
      </c>
      <c r="K223" s="24" t="str">
        <f>IF(CANDCALI!$H223&gt;=CANDCALI!$J223,"ELEGIDO","NO ELEGIDO")</f>
        <v>#NUM!</v>
      </c>
      <c r="L223" s="10"/>
    </row>
    <row r="224" ht="15.75" customHeight="1">
      <c r="A224" s="4" t="str">
        <f t="shared" si="1"/>
        <v>1121</v>
      </c>
      <c r="B224" s="4">
        <v>11.0</v>
      </c>
      <c r="C224" s="4" t="s">
        <v>53</v>
      </c>
      <c r="D224" s="28">
        <v>21.0</v>
      </c>
      <c r="E224" s="29" t="s">
        <v>282</v>
      </c>
      <c r="F224" s="4" t="s">
        <v>77</v>
      </c>
      <c r="G224" s="6">
        <v>500.0</v>
      </c>
      <c r="H224" s="30" t="str">
        <f>IF(D224=0,0,CANDCALI!$G224)</f>
        <v>  500 </v>
      </c>
      <c r="I224" s="4"/>
      <c r="J224" s="4" t="str">
        <f t="shared" si="10"/>
        <v>#NUM!</v>
      </c>
      <c r="K224" s="24" t="str">
        <f>IF(CANDCALI!$H224&gt;=CANDCALI!$J224,"ELEGIDO","NO ELEGIDO")</f>
        <v>#NUM!</v>
      </c>
      <c r="L224" s="10"/>
    </row>
    <row r="225" ht="15.75" customHeight="1">
      <c r="A225" s="4" t="str">
        <f t="shared" si="1"/>
        <v>120</v>
      </c>
      <c r="B225" s="4">
        <v>12.0</v>
      </c>
      <c r="C225" s="4" t="s">
        <v>55</v>
      </c>
      <c r="D225" s="28">
        <v>0.0</v>
      </c>
      <c r="E225" s="4" t="s">
        <v>55</v>
      </c>
      <c r="F225" s="4"/>
      <c r="G225" s="11" t="str">
        <f>MOVIMIENTO_ALTERNATIVO_INDIGENA_Y_SOCIAL_MAIS-SUM(G226:G246)</f>
        <v>- 5,172 </v>
      </c>
      <c r="H225" s="24" t="str">
        <f>IF(D225=0,0,CANDCALI!$G225)</f>
        <v>0</v>
      </c>
      <c r="I225" s="7" t="str">
        <f>CIFCAL!AC13</f>
        <v>0</v>
      </c>
      <c r="J225" s="24" t="str">
        <f>LARGE(H225:H246,CANDCALI!$I225)</f>
        <v>#NUM!</v>
      </c>
      <c r="K225" s="4"/>
      <c r="L225" s="10"/>
    </row>
    <row r="226" ht="15.75" customHeight="1">
      <c r="A226" s="4" t="str">
        <f t="shared" si="1"/>
        <v>121</v>
      </c>
      <c r="B226" s="4">
        <v>12.0</v>
      </c>
      <c r="C226" s="4" t="s">
        <v>55</v>
      </c>
      <c r="D226" s="28">
        <v>1.0</v>
      </c>
      <c r="E226" s="29" t="s">
        <v>283</v>
      </c>
      <c r="F226" s="4" t="s">
        <v>69</v>
      </c>
      <c r="G226" s="6">
        <v>156.0</v>
      </c>
      <c r="H226" s="30" t="str">
        <f>IF(D226=0,0,CANDCALI!$G226)</f>
        <v>  156 </v>
      </c>
      <c r="I226" s="4"/>
      <c r="J226" s="4" t="str">
        <f t="shared" ref="J226:J246" si="11">J225</f>
        <v>#NUM!</v>
      </c>
      <c r="K226" s="24" t="str">
        <f>IF(CANDCALI!$H226&gt;=CANDCALI!$J226,"ELEGIDO","NO ELEGIDO")</f>
        <v>#NUM!</v>
      </c>
      <c r="L226" s="10"/>
    </row>
    <row r="227" ht="15.75" customHeight="1">
      <c r="A227" s="4" t="str">
        <f t="shared" si="1"/>
        <v>122</v>
      </c>
      <c r="B227" s="4">
        <v>12.0</v>
      </c>
      <c r="C227" s="4" t="s">
        <v>55</v>
      </c>
      <c r="D227" s="28">
        <v>2.0</v>
      </c>
      <c r="E227" s="29" t="s">
        <v>284</v>
      </c>
      <c r="F227" s="4" t="s">
        <v>77</v>
      </c>
      <c r="G227" s="6">
        <v>1111.0</v>
      </c>
      <c r="H227" s="30" t="str">
        <f>IF(D227=0,0,CANDCALI!$G227)</f>
        <v>  1,111 </v>
      </c>
      <c r="I227" s="4"/>
      <c r="J227" s="4" t="str">
        <f t="shared" si="11"/>
        <v>#NUM!</v>
      </c>
      <c r="K227" s="24" t="str">
        <f>IF(CANDCALI!$H227&gt;=CANDCALI!$J227,"ELEGIDO","NO ELEGIDO")</f>
        <v>#NUM!</v>
      </c>
      <c r="L227" s="10"/>
    </row>
    <row r="228" ht="15.75" customHeight="1">
      <c r="A228" s="4" t="str">
        <f t="shared" si="1"/>
        <v>123</v>
      </c>
      <c r="B228" s="4">
        <v>12.0</v>
      </c>
      <c r="C228" s="4" t="s">
        <v>55</v>
      </c>
      <c r="D228" s="28">
        <v>3.0</v>
      </c>
      <c r="E228" s="29" t="s">
        <v>285</v>
      </c>
      <c r="F228" s="4" t="s">
        <v>69</v>
      </c>
      <c r="G228" s="6">
        <v>1400.0</v>
      </c>
      <c r="H228" s="30" t="str">
        <f>IF(D228=0,0,CANDCALI!$G228)</f>
        <v>  1,400 </v>
      </c>
      <c r="I228" s="4"/>
      <c r="J228" s="4" t="str">
        <f t="shared" si="11"/>
        <v>#NUM!</v>
      </c>
      <c r="K228" s="24" t="str">
        <f>IF(CANDCALI!$H228&gt;=CANDCALI!$J228,"ELEGIDO","NO ELEGIDO")</f>
        <v>#NUM!</v>
      </c>
      <c r="L228" s="10"/>
    </row>
    <row r="229" ht="15.75" customHeight="1">
      <c r="A229" s="4" t="str">
        <f t="shared" si="1"/>
        <v>124</v>
      </c>
      <c r="B229" s="4">
        <v>12.0</v>
      </c>
      <c r="C229" s="4" t="s">
        <v>55</v>
      </c>
      <c r="D229" s="28">
        <v>4.0</v>
      </c>
      <c r="E229" s="29" t="s">
        <v>286</v>
      </c>
      <c r="F229" s="4" t="s">
        <v>77</v>
      </c>
      <c r="G229" s="6">
        <v>45.0</v>
      </c>
      <c r="H229" s="30" t="str">
        <f>IF(D229=0,0,CANDCALI!$G229)</f>
        <v>  45 </v>
      </c>
      <c r="I229" s="4"/>
      <c r="J229" s="4" t="str">
        <f t="shared" si="11"/>
        <v>#NUM!</v>
      </c>
      <c r="K229" s="24" t="str">
        <f>IF(CANDCALI!$H229&gt;=CANDCALI!$J229,"ELEGIDO","NO ELEGIDO")</f>
        <v>#NUM!</v>
      </c>
      <c r="L229" s="10"/>
    </row>
    <row r="230" ht="15.75" customHeight="1">
      <c r="A230" s="4" t="str">
        <f t="shared" si="1"/>
        <v>125</v>
      </c>
      <c r="B230" s="4">
        <v>12.0</v>
      </c>
      <c r="C230" s="4" t="s">
        <v>55</v>
      </c>
      <c r="D230" s="28">
        <v>5.0</v>
      </c>
      <c r="E230" s="29" t="s">
        <v>287</v>
      </c>
      <c r="F230" s="4" t="s">
        <v>69</v>
      </c>
      <c r="G230" s="6">
        <v>33.0</v>
      </c>
      <c r="H230" s="30" t="str">
        <f>IF(D230=0,0,CANDCALI!$G230)</f>
        <v>  33 </v>
      </c>
      <c r="I230" s="4"/>
      <c r="J230" s="4" t="str">
        <f t="shared" si="11"/>
        <v>#NUM!</v>
      </c>
      <c r="K230" s="24" t="str">
        <f>IF(CANDCALI!$H230&gt;=CANDCALI!$J230,"ELEGIDO","NO ELEGIDO")</f>
        <v>#NUM!</v>
      </c>
      <c r="L230" s="10"/>
    </row>
    <row r="231" ht="15.75" customHeight="1">
      <c r="A231" s="4" t="str">
        <f t="shared" si="1"/>
        <v>126</v>
      </c>
      <c r="B231" s="4">
        <v>12.0</v>
      </c>
      <c r="C231" s="4" t="s">
        <v>55</v>
      </c>
      <c r="D231" s="28">
        <v>6.0</v>
      </c>
      <c r="E231" s="29" t="s">
        <v>288</v>
      </c>
      <c r="F231" s="4" t="s">
        <v>77</v>
      </c>
      <c r="G231" s="6">
        <v>1.0</v>
      </c>
      <c r="H231" s="30" t="str">
        <f>IF(D231=0,0,CANDCALI!$G231)</f>
        <v>  1 </v>
      </c>
      <c r="I231" s="4"/>
      <c r="J231" s="4" t="str">
        <f t="shared" si="11"/>
        <v>#NUM!</v>
      </c>
      <c r="K231" s="24" t="str">
        <f>IF(CANDCALI!$H231&gt;=CANDCALI!$J231,"ELEGIDO","NO ELEGIDO")</f>
        <v>#NUM!</v>
      </c>
      <c r="L231" s="10"/>
    </row>
    <row r="232" ht="15.75" customHeight="1">
      <c r="A232" s="4" t="str">
        <f t="shared" si="1"/>
        <v>127</v>
      </c>
      <c r="B232" s="4">
        <v>12.0</v>
      </c>
      <c r="C232" s="4" t="s">
        <v>55</v>
      </c>
      <c r="D232" s="28">
        <v>7.0</v>
      </c>
      <c r="E232" s="29" t="s">
        <v>289</v>
      </c>
      <c r="F232" s="4" t="s">
        <v>77</v>
      </c>
      <c r="G232" s="6">
        <v>29.0</v>
      </c>
      <c r="H232" s="30" t="str">
        <f>IF(D232=0,0,CANDCALI!$G232)</f>
        <v>  29 </v>
      </c>
      <c r="I232" s="4"/>
      <c r="J232" s="4" t="str">
        <f t="shared" si="11"/>
        <v>#NUM!</v>
      </c>
      <c r="K232" s="24" t="str">
        <f>IF(CANDCALI!$H232&gt;=CANDCALI!$J232,"ELEGIDO","NO ELEGIDO")</f>
        <v>#NUM!</v>
      </c>
      <c r="L232" s="10"/>
    </row>
    <row r="233" ht="15.75" customHeight="1">
      <c r="A233" s="4" t="str">
        <f t="shared" si="1"/>
        <v>128</v>
      </c>
      <c r="B233" s="4">
        <v>12.0</v>
      </c>
      <c r="C233" s="4" t="s">
        <v>55</v>
      </c>
      <c r="D233" s="28">
        <v>8.0</v>
      </c>
      <c r="E233" s="29" t="s">
        <v>290</v>
      </c>
      <c r="F233" s="4" t="s">
        <v>77</v>
      </c>
      <c r="G233" s="6">
        <v>270.0</v>
      </c>
      <c r="H233" s="30" t="str">
        <f>IF(D233=0,0,CANDCALI!$G233)</f>
        <v>  270 </v>
      </c>
      <c r="I233" s="4"/>
      <c r="J233" s="4" t="str">
        <f t="shared" si="11"/>
        <v>#NUM!</v>
      </c>
      <c r="K233" s="24" t="str">
        <f>IF(CANDCALI!$H233&gt;=CANDCALI!$J233,"ELEGIDO","NO ELEGIDO")</f>
        <v>#NUM!</v>
      </c>
      <c r="L233" s="10"/>
    </row>
    <row r="234" ht="15.75" customHeight="1">
      <c r="A234" s="4" t="str">
        <f t="shared" si="1"/>
        <v>129</v>
      </c>
      <c r="B234" s="4">
        <v>12.0</v>
      </c>
      <c r="C234" s="4" t="s">
        <v>55</v>
      </c>
      <c r="D234" s="28">
        <v>9.0</v>
      </c>
      <c r="E234" s="29" t="s">
        <v>291</v>
      </c>
      <c r="F234" s="4" t="s">
        <v>77</v>
      </c>
      <c r="G234" s="6">
        <v>1000.0</v>
      </c>
      <c r="H234" s="30" t="str">
        <f>IF(D234=0,0,CANDCALI!$G234)</f>
        <v>  1,000 </v>
      </c>
      <c r="I234" s="4"/>
      <c r="J234" s="4" t="str">
        <f t="shared" si="11"/>
        <v>#NUM!</v>
      </c>
      <c r="K234" s="24" t="str">
        <f>IF(CANDCALI!$H234&gt;=CANDCALI!$J234,"ELEGIDO","NO ELEGIDO")</f>
        <v>#NUM!</v>
      </c>
      <c r="L234" s="10"/>
    </row>
    <row r="235" ht="15.75" customHeight="1">
      <c r="A235" s="4" t="str">
        <f t="shared" si="1"/>
        <v>1210</v>
      </c>
      <c r="B235" s="4">
        <v>12.0</v>
      </c>
      <c r="C235" s="4" t="s">
        <v>55</v>
      </c>
      <c r="D235" s="28">
        <v>10.0</v>
      </c>
      <c r="E235" s="29" t="s">
        <v>292</v>
      </c>
      <c r="F235" s="4" t="s">
        <v>77</v>
      </c>
      <c r="G235" s="6">
        <v>690.0</v>
      </c>
      <c r="H235" s="30" t="str">
        <f>IF(D235=0,0,CANDCALI!$G235)</f>
        <v>  690 </v>
      </c>
      <c r="I235" s="4"/>
      <c r="J235" s="4" t="str">
        <f t="shared" si="11"/>
        <v>#NUM!</v>
      </c>
      <c r="K235" s="24" t="str">
        <f>IF(CANDCALI!$H235&gt;=CANDCALI!$J235,"ELEGIDO","NO ELEGIDO")</f>
        <v>#NUM!</v>
      </c>
      <c r="L235" s="10"/>
    </row>
    <row r="236" ht="15.75" customHeight="1">
      <c r="A236" s="4" t="str">
        <f t="shared" si="1"/>
        <v>1211</v>
      </c>
      <c r="B236" s="4">
        <v>12.0</v>
      </c>
      <c r="C236" s="4" t="s">
        <v>55</v>
      </c>
      <c r="D236" s="28">
        <v>11.0</v>
      </c>
      <c r="E236" s="29" t="s">
        <v>293</v>
      </c>
      <c r="F236" s="4" t="s">
        <v>77</v>
      </c>
      <c r="G236" s="6">
        <v>310.0</v>
      </c>
      <c r="H236" s="30" t="str">
        <f>IF(D236=0,0,CANDCALI!$G236)</f>
        <v>  310 </v>
      </c>
      <c r="I236" s="4"/>
      <c r="J236" s="4" t="str">
        <f t="shared" si="11"/>
        <v>#NUM!</v>
      </c>
      <c r="K236" s="24" t="str">
        <f>IF(CANDCALI!$H236&gt;=CANDCALI!$J236,"ELEGIDO","NO ELEGIDO")</f>
        <v>#NUM!</v>
      </c>
      <c r="L236" s="10"/>
    </row>
    <row r="237" ht="15.75" customHeight="1">
      <c r="A237" s="4" t="str">
        <f t="shared" si="1"/>
        <v>1212</v>
      </c>
      <c r="B237" s="4">
        <v>12.0</v>
      </c>
      <c r="C237" s="4" t="s">
        <v>55</v>
      </c>
      <c r="D237" s="28">
        <v>12.0</v>
      </c>
      <c r="E237" s="29" t="s">
        <v>294</v>
      </c>
      <c r="F237" s="4" t="s">
        <v>77</v>
      </c>
      <c r="G237" s="6">
        <v>71.0</v>
      </c>
      <c r="H237" s="30" t="str">
        <f>IF(D237=0,0,CANDCALI!$G237)</f>
        <v>  71 </v>
      </c>
      <c r="I237" s="4"/>
      <c r="J237" s="4" t="str">
        <f t="shared" si="11"/>
        <v>#NUM!</v>
      </c>
      <c r="K237" s="24" t="str">
        <f>IF(CANDCALI!$H237&gt;=CANDCALI!$J237,"ELEGIDO","NO ELEGIDO")</f>
        <v>#NUM!</v>
      </c>
      <c r="L237" s="10"/>
    </row>
    <row r="238" ht="15.75" customHeight="1">
      <c r="A238" s="4" t="str">
        <f t="shared" si="1"/>
        <v>1213</v>
      </c>
      <c r="B238" s="4">
        <v>12.0</v>
      </c>
      <c r="C238" s="4" t="s">
        <v>55</v>
      </c>
      <c r="D238" s="28">
        <v>13.0</v>
      </c>
      <c r="E238" s="29" t="s">
        <v>295</v>
      </c>
      <c r="F238" s="4" t="s">
        <v>77</v>
      </c>
      <c r="G238" s="6">
        <v>987.0</v>
      </c>
      <c r="H238" s="30" t="str">
        <f>IF(D238=0,0,CANDCALI!$G238)</f>
        <v>  987 </v>
      </c>
      <c r="I238" s="4"/>
      <c r="J238" s="4" t="str">
        <f t="shared" si="11"/>
        <v>#NUM!</v>
      </c>
      <c r="K238" s="24" t="str">
        <f>IF(CANDCALI!$H238&gt;=CANDCALI!$J238,"ELEGIDO","NO ELEGIDO")</f>
        <v>#NUM!</v>
      </c>
      <c r="L238" s="10"/>
    </row>
    <row r="239" ht="15.75" customHeight="1">
      <c r="A239" s="4" t="str">
        <f t="shared" si="1"/>
        <v>1214</v>
      </c>
      <c r="B239" s="4">
        <v>12.0</v>
      </c>
      <c r="C239" s="4" t="s">
        <v>55</v>
      </c>
      <c r="D239" s="28">
        <v>14.0</v>
      </c>
      <c r="E239" s="29" t="s">
        <v>296</v>
      </c>
      <c r="F239" s="4" t="s">
        <v>69</v>
      </c>
      <c r="G239" s="6">
        <v>900.0</v>
      </c>
      <c r="H239" s="30" t="str">
        <f>IF(D239=0,0,CANDCALI!$G239)</f>
        <v>  900 </v>
      </c>
      <c r="I239" s="4"/>
      <c r="J239" s="4" t="str">
        <f t="shared" si="11"/>
        <v>#NUM!</v>
      </c>
      <c r="K239" s="24" t="str">
        <f>IF(CANDCALI!$H239&gt;=CANDCALI!$J239,"ELEGIDO","NO ELEGIDO")</f>
        <v>#NUM!</v>
      </c>
      <c r="L239" s="10"/>
    </row>
    <row r="240" ht="15.75" customHeight="1">
      <c r="A240" s="4" t="str">
        <f t="shared" si="1"/>
        <v>1215</v>
      </c>
      <c r="B240" s="4">
        <v>12.0</v>
      </c>
      <c r="C240" s="4" t="s">
        <v>55</v>
      </c>
      <c r="D240" s="28">
        <v>15.0</v>
      </c>
      <c r="E240" s="29" t="s">
        <v>297</v>
      </c>
      <c r="F240" s="4" t="s">
        <v>77</v>
      </c>
      <c r="G240" s="6">
        <v>100.0</v>
      </c>
      <c r="H240" s="30" t="str">
        <f>IF(D240=0,0,CANDCALI!$G240)</f>
        <v>  100 </v>
      </c>
      <c r="I240" s="4"/>
      <c r="J240" s="4" t="str">
        <f t="shared" si="11"/>
        <v>#NUM!</v>
      </c>
      <c r="K240" s="24" t="str">
        <f>IF(CANDCALI!$H240&gt;=CANDCALI!$J240,"ELEGIDO","NO ELEGIDO")</f>
        <v>#NUM!</v>
      </c>
      <c r="L240" s="10"/>
    </row>
    <row r="241" ht="15.75" customHeight="1">
      <c r="A241" s="4" t="str">
        <f t="shared" si="1"/>
        <v>1216</v>
      </c>
      <c r="B241" s="4">
        <v>12.0</v>
      </c>
      <c r="C241" s="4" t="s">
        <v>55</v>
      </c>
      <c r="D241" s="28">
        <v>16.0</v>
      </c>
      <c r="E241" s="29" t="s">
        <v>298</v>
      </c>
      <c r="F241" s="4" t="s">
        <v>69</v>
      </c>
      <c r="G241" s="6">
        <v>135.0</v>
      </c>
      <c r="H241" s="30" t="str">
        <f>IF(D241=0,0,CANDCALI!$G241)</f>
        <v>  135 </v>
      </c>
      <c r="I241" s="4"/>
      <c r="J241" s="4" t="str">
        <f t="shared" si="11"/>
        <v>#NUM!</v>
      </c>
      <c r="K241" s="24" t="str">
        <f>IF(CANDCALI!$H241&gt;=CANDCALI!$J241,"ELEGIDO","NO ELEGIDO")</f>
        <v>#NUM!</v>
      </c>
      <c r="L241" s="10"/>
    </row>
    <row r="242" ht="15.75" customHeight="1">
      <c r="A242" s="4" t="str">
        <f t="shared" si="1"/>
        <v>1217</v>
      </c>
      <c r="B242" s="4">
        <v>12.0</v>
      </c>
      <c r="C242" s="4" t="s">
        <v>55</v>
      </c>
      <c r="D242" s="28">
        <v>17.0</v>
      </c>
      <c r="E242" s="29" t="s">
        <v>299</v>
      </c>
      <c r="F242" s="4" t="s">
        <v>77</v>
      </c>
      <c r="G242" s="6">
        <v>4.0</v>
      </c>
      <c r="H242" s="30" t="str">
        <f>IF(D242=0,0,CANDCALI!$G242)</f>
        <v>  4 </v>
      </c>
      <c r="I242" s="4"/>
      <c r="J242" s="4" t="str">
        <f t="shared" si="11"/>
        <v>#NUM!</v>
      </c>
      <c r="K242" s="24" t="str">
        <f>IF(CANDCALI!$H242&gt;=CANDCALI!$J242,"ELEGIDO","NO ELEGIDO")</f>
        <v>#NUM!</v>
      </c>
      <c r="L242" s="10"/>
    </row>
    <row r="243" ht="15.75" customHeight="1">
      <c r="A243" s="4" t="str">
        <f t="shared" si="1"/>
        <v>1218</v>
      </c>
      <c r="B243" s="4">
        <v>12.0</v>
      </c>
      <c r="C243" s="4" t="s">
        <v>55</v>
      </c>
      <c r="D243" s="28">
        <v>18.0</v>
      </c>
      <c r="E243" s="29" t="s">
        <v>300</v>
      </c>
      <c r="F243" s="4" t="s">
        <v>69</v>
      </c>
      <c r="G243" s="6">
        <v>77.0</v>
      </c>
      <c r="H243" s="30" t="str">
        <f>IF(D243=0,0,CANDCALI!$G243)</f>
        <v>  77 </v>
      </c>
      <c r="I243" s="4"/>
      <c r="J243" s="4" t="str">
        <f t="shared" si="11"/>
        <v>#NUM!</v>
      </c>
      <c r="K243" s="24" t="str">
        <f>IF(CANDCALI!$H243&gt;=CANDCALI!$J243,"ELEGIDO","NO ELEGIDO")</f>
        <v>#NUM!</v>
      </c>
      <c r="L243" s="10"/>
    </row>
    <row r="244" ht="15.75" customHeight="1">
      <c r="A244" s="4" t="str">
        <f t="shared" si="1"/>
        <v>1219</v>
      </c>
      <c r="B244" s="4">
        <v>12.0</v>
      </c>
      <c r="C244" s="4" t="s">
        <v>55</v>
      </c>
      <c r="D244" s="28">
        <v>19.0</v>
      </c>
      <c r="E244" s="29" t="s">
        <v>301</v>
      </c>
      <c r="F244" s="4" t="s">
        <v>77</v>
      </c>
      <c r="G244" s="6">
        <v>1298.0</v>
      </c>
      <c r="H244" s="30" t="str">
        <f>IF(D244=0,0,CANDCALI!$G244)</f>
        <v>  1,298 </v>
      </c>
      <c r="I244" s="4"/>
      <c r="J244" s="4" t="str">
        <f t="shared" si="11"/>
        <v>#NUM!</v>
      </c>
      <c r="K244" s="24" t="str">
        <f>IF(CANDCALI!$H244&gt;=CANDCALI!$J244,"ELEGIDO","NO ELEGIDO")</f>
        <v>#NUM!</v>
      </c>
      <c r="L244" s="10"/>
    </row>
    <row r="245" ht="15.75" customHeight="1">
      <c r="A245" s="4" t="str">
        <f t="shared" si="1"/>
        <v>1220</v>
      </c>
      <c r="B245" s="4">
        <v>12.0</v>
      </c>
      <c r="C245" s="4" t="s">
        <v>55</v>
      </c>
      <c r="D245" s="28">
        <v>20.0</v>
      </c>
      <c r="E245" s="29" t="s">
        <v>302</v>
      </c>
      <c r="F245" s="4" t="s">
        <v>69</v>
      </c>
      <c r="G245" s="6">
        <v>140.0</v>
      </c>
      <c r="H245" s="30" t="str">
        <f>IF(D245=0,0,CANDCALI!$G245)</f>
        <v>  140 </v>
      </c>
      <c r="I245" s="4"/>
      <c r="J245" s="4" t="str">
        <f t="shared" si="11"/>
        <v>#NUM!</v>
      </c>
      <c r="K245" s="24" t="str">
        <f>IF(CANDCALI!$H245&gt;=CANDCALI!$J245,"ELEGIDO","NO ELEGIDO")</f>
        <v>#NUM!</v>
      </c>
      <c r="L245" s="10"/>
    </row>
    <row r="246" ht="15.75" hidden="1" customHeight="1">
      <c r="A246" s="4" t="str">
        <f t="shared" si="1"/>
        <v>1221</v>
      </c>
      <c r="B246" s="4">
        <v>12.0</v>
      </c>
      <c r="C246" s="4" t="s">
        <v>55</v>
      </c>
      <c r="D246" s="28">
        <v>21.0</v>
      </c>
      <c r="E246" s="29" t="s">
        <v>303</v>
      </c>
      <c r="F246" s="4" t="s">
        <v>77</v>
      </c>
      <c r="G246" s="4">
        <v>10.0</v>
      </c>
      <c r="H246" s="24" t="str">
        <f>IF(D246=0,0,CANDCALI!$G246)</f>
        <v>10</v>
      </c>
      <c r="I246" s="4"/>
      <c r="J246" s="4" t="str">
        <f t="shared" si="11"/>
        <v>#NUM!</v>
      </c>
      <c r="K246" s="24" t="str">
        <f>IF(CANDCALI!$H246&gt;=CANDCALI!$J246,"ELEGIDO","NO ELEGIDO")</f>
        <v>#NUM!</v>
      </c>
    </row>
  </sheetData>
  <conditionalFormatting sqref="F9:G9">
    <cfRule type="cellIs" dxfId="4" priority="1" operator="equal">
      <formula>0</formula>
    </cfRule>
  </conditionalFormatting>
  <conditionalFormatting sqref="K1:K246">
    <cfRule type="cellIs" dxfId="5" priority="2" operator="equal">
      <formula>"ELEGIDO"</formula>
    </cfRule>
  </conditionalFormatting>
  <conditionalFormatting sqref="L7">
    <cfRule type="cellIs" dxfId="5" priority="3" operator="equal">
      <formula>"ELEGIDO"</formula>
    </cfRule>
  </conditionalFormatting>
  <conditionalFormatting sqref="I1">
    <cfRule type="cellIs" dxfId="5" priority="4" operator="equal">
      <formula>"ELEGIDO"</formula>
    </cfRule>
  </conditionalFormatting>
  <dataValidations>
    <dataValidation type="list" allowBlank="1" showInputMessage="1" showErrorMessage="1" prompt="SOLO PARTIDOS QUE PARTICIPAN EN LA ELECCIÓN" sqref="C2">
      <formula1>CIFCAL!$C$2:$C$13</formula1>
    </dataValidation>
    <dataValidation type="decimal" operator="equal" allowBlank="1" showInputMessage="1" showErrorMessage="1" prompt="LISTA CERRADA" sqref="G97:G103">
      <formula1>0.0</formula1>
    </dataValidation>
    <dataValidation type="list" allowBlank="1" showErrorMessage="1" sqref="F2">
      <formula1>GÉNERO</formula1>
    </dataValidation>
    <dataValidation type="list" allowBlank="1" showErrorMessage="1" sqref="I2">
      <formula1>$O$3:$O$4</formula1>
    </dataValidation>
    <dataValidation type="list" allowBlank="1" showInputMessage="1" showErrorMessage="1" prompt="DIGITE CANDIDATO" sqref="E2">
      <formula1>CANDIDATOS</formula1>
    </dataValidation>
    <dataValidation type="decimal" operator="equal" allowBlank="1" showInputMessage="1" showErrorMessage="1" prompt="SOLO LISTA" sqref="G127:G141">
      <formula1>0.0</formula1>
    </dataValidation>
  </dataValidations>
  <printOptions/>
  <pageMargins bottom="0.75" footer="0.0" header="0.0" left="0.7" right="0.7" top="0.75"/>
  <pageSetup orientation="landscape"/>
  <drawing r:id="rId2"/>
  <legacyDrawing r:id="rId3"/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ScaleCrop>false</ScaleCrop>
  <HeadingPairs>
    <vt:vector baseType="variant" size="6">
      <vt:variant>
        <vt:lpstr>Hojas de cálculo</vt:lpstr>
      </vt:variant>
      <vt:variant>
        <vt:i4>2</vt:i4>
      </vt:variant>
      <vt:variant>
        <vt:lpstr>Gráficos</vt:lpstr>
      </vt:variant>
      <vt:variant>
        <vt:i4>3</vt:i4>
      </vt:variant>
      <vt:variant>
        <vt:lpstr>Rangos con nombre</vt:lpstr>
      </vt:variant>
      <vt:variant>
        <vt:i4>22</vt:i4>
      </vt:variant>
    </vt:vector>
  </HeadingPairs>
  <TitlesOfParts>
    <vt:vector baseType="lpstr" size="27">
      <vt:lpstr>CIFCAL</vt:lpstr>
      <vt:lpstr>CANDCALI</vt:lpstr>
      <vt:lpstr>DISTANCIA AL UMBRAL</vt:lpstr>
      <vt:lpstr>VOTOS PARTIDOS</vt:lpstr>
      <vt:lpstr>CURULES OBTENIDAS</vt:lpstr>
      <vt:lpstr>CANDIDATOS</vt:lpstr>
      <vt:lpstr>CIFRA_REPARTIDORA</vt:lpstr>
      <vt:lpstr>CANDCALI!Criterios</vt:lpstr>
      <vt:lpstr>CURULES_A_PROVEER</vt:lpstr>
      <vt:lpstr>GÉNERO</vt:lpstr>
      <vt:lpstr>MOVIMIENTO_ALTERNATIVO_INDIGENA_Y_SOCIAL_MAIS</vt:lpstr>
      <vt:lpstr>MOVIMIENTO_MIRA</vt:lpstr>
      <vt:lpstr>PARTIDO_ALIANZA_SOCIAL_INDEPENDIENTE_ASI</vt:lpstr>
      <vt:lpstr>PARTIDO_ALIANZA_VERDE</vt:lpstr>
      <vt:lpstr>PARTIDO_CAMBIO_RADICAL</vt:lpstr>
      <vt:lpstr>PARTIDO_CENTRO_DEMOCRATICO</vt:lpstr>
      <vt:lpstr>PARTIDO_CONSERVADOR_COLOMBIANO</vt:lpstr>
      <vt:lpstr>PARTIDO_LIBERAL_COLOMBIANO</vt:lpstr>
      <vt:lpstr>PARTIDO_OPCION_CIUDADANA</vt:lpstr>
      <vt:lpstr>PARTIDO_POLO_DEMOCRATICO_ALTERNATIVO</vt:lpstr>
      <vt:lpstr>PARTIDO_SOCIAL_DE_UNIDAD_NACIONAL__PARTIDO_DE_LA_U</vt:lpstr>
      <vt:lpstr>PARTIDO_UNION_PATRIOTICA_UP</vt:lpstr>
      <vt:lpstr>TABLACANDIDATOS</vt:lpstr>
      <vt:lpstr>TOTAL_VOTOS_VÁLIDOS</vt:lpstr>
      <vt:lpstr>CIFCAL!UMBRAL</vt:lpstr>
      <vt:lpstr>UMBRALCALI</vt:lpstr>
      <vt:lpstr>VOTOS_EN_BLANCO</vt:lpstr>
    </vt:vector>
  </TitlesOfParts>
  <LinksUpToDate>false</LinksUpToDate>
  <SharedDoc>false</SharedDoc>
  <HyperlinksChanged>false</HyperlinksChanged>
  <Application>Microsoft Excel</Application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2015-08-10T22:40:04Z</dcterms:created>
  <dc:creator>William Pérez Castañeda</dc:creator>
  <cp:lastModifiedBy>vanessa</cp:lastModifiedBy>
  <dcterms:modified xsi:type="dcterms:W3CDTF">2015-10-26T22:49:42Z</dcterms:modified>
</cp:coreProperties>
</file>